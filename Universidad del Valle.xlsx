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Shared with Me\Simuladores 2026\Fidelización\Mapeo Curricular Universidades\"/>
    </mc:Choice>
  </mc:AlternateContent>
  <xr:revisionPtr revIDLastSave="0" documentId="13_ncr:1_{C76BBEAA-484F-4CC4-A37C-8C4915720618}" xr6:coauthVersionLast="47" xr6:coauthVersionMax="47" xr10:uidLastSave="{00000000-0000-0000-0000-000000000000}"/>
  <bookViews>
    <workbookView xWindow="-120" yWindow="-120" windowWidth="20730" windowHeight="11040" firstSheet="5" activeTab="8" xr2:uid="{00000000-000D-0000-FFFF-FFFF00000000}"/>
  </bookViews>
  <sheets>
    <sheet name="Resumen" sheetId="1" r:id="rId1"/>
    <sheet name="Catálogo CompanyGame" sheetId="2" r:id="rId2"/>
    <sheet name="Administración de Empresas" sheetId="3" r:id="rId3"/>
    <sheet name="Contaduría Pública" sheetId="4" r:id="rId4"/>
    <sheet name="Comercio Exterior" sheetId="5" r:id="rId5"/>
    <sheet name="Finanzas y Banca" sheetId="6" r:id="rId6"/>
    <sheet name="Economía" sheetId="7" r:id="rId7"/>
    <sheet name="Gestión Emprend. e Innovación" sheetId="8" r:id="rId8"/>
    <sheet name="Administración Turístic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E13" i="1"/>
  <c r="D13" i="1"/>
  <c r="C13" i="1"/>
  <c r="F12" i="1"/>
  <c r="E12" i="1"/>
  <c r="D12" i="1"/>
  <c r="C12" i="1"/>
  <c r="F11" i="1"/>
  <c r="E11" i="1"/>
  <c r="G11" i="1" s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G13" i="1" l="1"/>
  <c r="G12" i="1"/>
  <c r="G10" i="1"/>
  <c r="G9" i="1"/>
  <c r="C14" i="1"/>
  <c r="G8" i="1"/>
  <c r="E14" i="1"/>
  <c r="D14" i="1"/>
  <c r="F14" i="1"/>
  <c r="G7" i="1"/>
  <c r="G14" i="1" l="1"/>
</calcChain>
</file>

<file path=xl/sharedStrings.xml><?xml version="1.0" encoding="utf-8"?>
<sst xmlns="http://schemas.openxmlformats.org/spreadsheetml/2006/main" count="2467" uniqueCount="568">
  <si>
    <t>Relación materias – simuladores CompanyGame</t>
  </si>
  <si>
    <t>Universidad del Valle (Univalle) · Facultad de Ciencias de la Administración y Fac. de Ciencias Sociales y Económicas</t>
  </si>
  <si>
    <t>Análisis del plan de estudios de cada pregrado frente al catálogo de simuladores CompanyGame</t>
  </si>
  <si>
    <t>Programa</t>
  </si>
  <si>
    <t>N.º de materias</t>
  </si>
  <si>
    <t>Encaje perfecto</t>
  </si>
  <si>
    <t>Encaje parcial</t>
  </si>
  <si>
    <t>No encaja / a desarrollar</t>
  </si>
  <si>
    <t>% con simulador CG</t>
  </si>
  <si>
    <t>Administración de Empresas</t>
  </si>
  <si>
    <t>Contaduría Pública</t>
  </si>
  <si>
    <t>Comercio Exterior</t>
  </si>
  <si>
    <t>Finanzas y Banca</t>
  </si>
  <si>
    <t>Economía</t>
  </si>
  <si>
    <t>Gestión Emprend. e Innovación</t>
  </si>
  <si>
    <t>Administración Turística</t>
  </si>
  <si>
    <t>TOTAL</t>
  </si>
  <si>
    <t>Convención de la columna 'Grado de ajuste':</t>
  </si>
  <si>
    <t>Un simulador CompanyGame cubre directamente la materia</t>
  </si>
  <si>
    <t>Un simulador CG cubre parte de la materia; se sugiere complementar/desarrollar</t>
  </si>
  <si>
    <t>No encaja</t>
  </si>
  <si>
    <t>Ningún simulador CG aplica; se propone el tipo de simulador a desarrollar</t>
  </si>
  <si>
    <t>Notas metodológicas</t>
  </si>
  <si>
    <t>· La columna 'Semestre' corresponde al avance del plan de estudios de cada pregrado.</t>
  </si>
  <si>
    <t>· Pensums tomados de las estructuras curriculares oficiales de Univalle entregadas por la institución:</t>
  </si>
  <si>
    <t xml:space="preserve">  Administración de Empresas (Res. 246/2020, 10 sem, 165 cr), Contaduría Pública (Res. 240/2020, 10 sem, 170 cr),</t>
  </si>
  <si>
    <t xml:space="preserve">  Comercio Exterior (9 sem), Finanzas y Banca (9 sem, 150 cr), Economía (Res. 045/2020, 9 sem),</t>
  </si>
  <si>
    <t xml:space="preserve">  Gestión del Emprendimiento y la Innovación (8 sem, 140 cr) y Administración Turística (9 sem).</t>
  </si>
  <si>
    <t>· Catálogo de simuladores tomado de companygame.com (8 categorías; ver hoja 'Catálogo CompanyGame').</t>
  </si>
  <si>
    <t>· Niveles CG: N1-2 Intro · N3-4 Avanzado · N5 Graduate · N6-7 Postgrado/Executive.</t>
  </si>
  <si>
    <t>· Administración Turística apalanca la línea HORECA; Finanzas y Banca la línea Finanzas y Banca (Bankgame/Trading/BankCompany);</t>
  </si>
  <si>
    <t xml:space="preserve">  Economía es muy teórica-cuantitativa (bajo encaje directo).</t>
  </si>
  <si>
    <t>Catálogo de simuladores CompanyGame</t>
  </si>
  <si>
    <t>Fuente: companygame.com</t>
  </si>
  <si>
    <t>Categoría</t>
  </si>
  <si>
    <t>Simulador</t>
  </si>
  <si>
    <t>Nivel</t>
  </si>
  <si>
    <t>Descripción / área temática</t>
  </si>
  <si>
    <t>Negocios y Estrategia</t>
  </si>
  <si>
    <t>T-Shirt</t>
  </si>
  <si>
    <t>N1-2</t>
  </si>
  <si>
    <t>Introducción a la gestión empresarial (sector textil)</t>
  </si>
  <si>
    <t>Sunny Day</t>
  </si>
  <si>
    <t>Introducción a la gestión; visión global (bebidas/consumo)</t>
  </si>
  <si>
    <t>Energy&amp;Co</t>
  </si>
  <si>
    <t>Introducción a la gestión empresarial (sector energético)</t>
  </si>
  <si>
    <t>Business21</t>
  </si>
  <si>
    <t>N3-4</t>
  </si>
  <si>
    <t>Dirección general intermedia; visión integral</t>
  </si>
  <si>
    <t>Business Global</t>
  </si>
  <si>
    <t>N5</t>
  </si>
  <si>
    <t>Dirección general avanzada; simulación gerencial integral</t>
  </si>
  <si>
    <t>Business Strategy</t>
  </si>
  <si>
    <t>N6-7</t>
  </si>
  <si>
    <t>Estrategia empresarial (executive/posgrado)</t>
  </si>
  <si>
    <t>Marketing y Ventas</t>
  </si>
  <si>
    <t>MarketGame</t>
  </si>
  <si>
    <t>Introducción al marketing y decisiones comerciales</t>
  </si>
  <si>
    <t>Coffee Time</t>
  </si>
  <si>
    <t>Marketing y retail (sector cafetería)</t>
  </si>
  <si>
    <t>Food Company</t>
  </si>
  <si>
    <t>Marketing estratégico sector alimentos</t>
  </si>
  <si>
    <t>SalesManager</t>
  </si>
  <si>
    <t>Gestión de la fuerza de ventas</t>
  </si>
  <si>
    <t>TechCompany</t>
  </si>
  <si>
    <t>Marketing sector tecnológico</t>
  </si>
  <si>
    <t>FOCUS</t>
  </si>
  <si>
    <t>Investigación de mercados y marketing estratégico</t>
  </si>
  <si>
    <t>GlobalMarket</t>
  </si>
  <si>
    <t>Marketing global (executive)</t>
  </si>
  <si>
    <t>ContaTrainer</t>
  </si>
  <si>
    <t>Apuntes y registros contables; contabilidad básica</t>
  </si>
  <si>
    <t>Advisor Jr.</t>
  </si>
  <si>
    <t>N1-2 / N3-4</t>
  </si>
  <si>
    <t>Asesoría financiera y productos financieros</t>
  </si>
  <si>
    <t>Corbatul</t>
  </si>
  <si>
    <t>Gestión financiera empresarial</t>
  </si>
  <si>
    <t>Trading (Real Market Stocks)</t>
  </si>
  <si>
    <t>Bolsa y mercados de capitales (acciones reales)</t>
  </si>
  <si>
    <t>Bankgame</t>
  </si>
  <si>
    <t>Gestión de oficina bancaria</t>
  </si>
  <si>
    <t>BankCompany</t>
  </si>
  <si>
    <t>Estrategia y dirección bancaria (executive)</t>
  </si>
  <si>
    <t>Emprendimiento</t>
  </si>
  <si>
    <t>Fitness Gym</t>
  </si>
  <si>
    <t>Plan de negocio / creación de empresa (gimnasio)</t>
  </si>
  <si>
    <t>Luxe Atelier</t>
  </si>
  <si>
    <t>Emprendimiento (taller de moda)</t>
  </si>
  <si>
    <t>Business Chef</t>
  </si>
  <si>
    <t>Emprendimiento y gestión de restaurante</t>
  </si>
  <si>
    <t>Fitness Gym Executive</t>
  </si>
  <si>
    <t>Emprendimiento avanzado y gestión de proyecto</t>
  </si>
  <si>
    <t>Business Transformation</t>
  </si>
  <si>
    <t>InnovaTech</t>
  </si>
  <si>
    <t>Innovación y transformación digital</t>
  </si>
  <si>
    <t>Inter Pyme</t>
  </si>
  <si>
    <t>Internacionalización de pymes</t>
  </si>
  <si>
    <t>Avocado Expand</t>
  </si>
  <si>
    <t>Internacionalización / expansión exportadora</t>
  </si>
  <si>
    <t>Transforma</t>
  </si>
  <si>
    <t>Transformación empresarial</t>
  </si>
  <si>
    <t>Business Advance</t>
  </si>
  <si>
    <t>Negocio digital / e-commerce</t>
  </si>
  <si>
    <t>Global 2020</t>
  </si>
  <si>
    <t>Globalización y dirección global</t>
  </si>
  <si>
    <t>Global 2030</t>
  </si>
  <si>
    <t>Globalización con enfoque de sostenibilidad</t>
  </si>
  <si>
    <t>HORECA / Hospitalidad y Servicios</t>
  </si>
  <si>
    <t>Hotel Game</t>
  </si>
  <si>
    <t>Introducción a la gestión hotelera</t>
  </si>
  <si>
    <t>Hotel Virtual</t>
  </si>
  <si>
    <t>Operación hotelera</t>
  </si>
  <si>
    <t>Casa Guadalupe</t>
  </si>
  <si>
    <t>Restauración y hospitalidad (F&amp;B)</t>
  </si>
  <si>
    <t>Five Stars</t>
  </si>
  <si>
    <t>Gestión hotelera avanzada / servicio</t>
  </si>
  <si>
    <t>Innova Hotel</t>
  </si>
  <si>
    <t>Innovación hotelera</t>
  </si>
  <si>
    <t>Hotel Company</t>
  </si>
  <si>
    <t>Dirección hotelera (executive)</t>
  </si>
  <si>
    <t>ESG Management</t>
  </si>
  <si>
    <t>Sweet Berries</t>
  </si>
  <si>
    <t>Negocio sostenible introductorio (agro)</t>
  </si>
  <si>
    <t>ESG Project</t>
  </si>
  <si>
    <t>Proyectos ESG / sostenibilidad</t>
  </si>
  <si>
    <t>Gestión empresarial basada en sostenibilidad</t>
  </si>
  <si>
    <t>Global Management</t>
  </si>
  <si>
    <t>Dirección global sostenible</t>
  </si>
  <si>
    <t>Operaciones</t>
  </si>
  <si>
    <t>Milk Factory</t>
  </si>
  <si>
    <t>Gestión de operaciones y producción (planta láctea)</t>
  </si>
  <si>
    <t>Administración de Empresas  ·  Universidad del Valle (Univalle)</t>
  </si>
  <si>
    <t>Semestre</t>
  </si>
  <si>
    <t>Materia</t>
  </si>
  <si>
    <t>Área temática</t>
  </si>
  <si>
    <t>Simulador CompanyGame que encaja</t>
  </si>
  <si>
    <t>Nivel CG</t>
  </si>
  <si>
    <t>Grado de ajuste</t>
  </si>
  <si>
    <t>Tipo de simulador a desarrollar (si no encaja / parcial)</t>
  </si>
  <si>
    <t>Observación</t>
  </si>
  <si>
    <t>Fundamentos de Economía y Comercio</t>
  </si>
  <si>
    <t>—</t>
  </si>
  <si>
    <t>Simulador macro/microeconómico (economía de mercado y política económica)</t>
  </si>
  <si>
    <t>Cálculo</t>
  </si>
  <si>
    <t>Cuantitativa</t>
  </si>
  <si>
    <t>Juego/simulador de aplicación matemática a decisiones de negocio</t>
  </si>
  <si>
    <t>Introducción al Derecho y Constitución Política</t>
  </si>
  <si>
    <t>Jurídica</t>
  </si>
  <si>
    <t>Simulador jurídico-empresarial (casos y contratos)</t>
  </si>
  <si>
    <t>Proceso Administrativo</t>
  </si>
  <si>
    <t>Administración</t>
  </si>
  <si>
    <t>T-Shirt / Sunny Day</t>
  </si>
  <si>
    <t>Taller Habilidades y Herramientas Informáticas para la Gestión</t>
  </si>
  <si>
    <t>Digital</t>
  </si>
  <si>
    <t>Simulador de ofimática, gestión de la información y competencias digitales</t>
  </si>
  <si>
    <t>Fundamentos de Contabilidad</t>
  </si>
  <si>
    <t>Contabilidad</t>
  </si>
  <si>
    <t>Álgebra Lineal</t>
  </si>
  <si>
    <t>Macroeconomía y Coyuntura</t>
  </si>
  <si>
    <t>Ciencias Humanas</t>
  </si>
  <si>
    <t>Humanidades</t>
  </si>
  <si>
    <t>Serious game de competencias humanísticas, ciudadanas y espirituales</t>
  </si>
  <si>
    <t>Diseño Organizacional</t>
  </si>
  <si>
    <t>Pensamiento Clásico de la Administración y las Organizaciones</t>
  </si>
  <si>
    <t>Comprensión y Producción de textos académicos generales</t>
  </si>
  <si>
    <t>Comunicación</t>
  </si>
  <si>
    <t>Simulador de competencias comunicativas (comprensión y producción de textos)</t>
  </si>
  <si>
    <t>Componente Vida Saludable</t>
  </si>
  <si>
    <t>Humanidades / Bienestar</t>
  </si>
  <si>
    <t>Estadística I para las ciencias de la administración</t>
  </si>
  <si>
    <t>Simulador de análisis estadístico y decisiones basadas en datos</t>
  </si>
  <si>
    <t>Pensamiento Contemporáneo de la Administración y las Organizaciones</t>
  </si>
  <si>
    <t>Organización y Sociedad</t>
  </si>
  <si>
    <t>Legislación Comercial</t>
  </si>
  <si>
    <t>Matemática para finanzas</t>
  </si>
  <si>
    <t>Finanzas</t>
  </si>
  <si>
    <t>Simulador de matemática financiera (valor del dinero en el tiempo)</t>
  </si>
  <si>
    <t>Economía de Empresa</t>
  </si>
  <si>
    <t>Inglés I</t>
  </si>
  <si>
    <t>Idiomas</t>
  </si>
  <si>
    <t>Simulador conversacional de idiomas / role-play de negocios en otro idioma (IA)</t>
  </si>
  <si>
    <t>Estadística II para las ciencias de la administración</t>
  </si>
  <si>
    <t>Modelos y Simulación de datos para las organizaciones</t>
  </si>
  <si>
    <t>Cuantitativa / Analítica</t>
  </si>
  <si>
    <t>Simulador de herramientas para la toma de decisiones (métodos analíticos)</t>
  </si>
  <si>
    <t>Legislación laboral</t>
  </si>
  <si>
    <t>Mercadeo</t>
  </si>
  <si>
    <t>Marketing</t>
  </si>
  <si>
    <t>Costos y Presupuestos Gerenciales</t>
  </si>
  <si>
    <t>Costos</t>
  </si>
  <si>
    <t>Simulador de costeo (ABC / gestión estratégica de costos)</t>
  </si>
  <si>
    <t>Lectura Crítica</t>
  </si>
  <si>
    <t>Inglés II</t>
  </si>
  <si>
    <t>Investigación y Gestión de Operaciones</t>
  </si>
  <si>
    <t>Gestión del Conocimiento e Innovación</t>
  </si>
  <si>
    <t>Innovación / Gestión</t>
  </si>
  <si>
    <t>Humanismo, pensamiento administrativo y organizaciones</t>
  </si>
  <si>
    <t>Investigación de Mercados</t>
  </si>
  <si>
    <t>Análisis Integrado del Entorno</t>
  </si>
  <si>
    <t>Estrategia</t>
  </si>
  <si>
    <t>Simulador de prospectiva y escenarios estratégicos</t>
  </si>
  <si>
    <t>Responsabilidad Social Empresarial y Sostenibilidad</t>
  </si>
  <si>
    <t>Sostenibilidad</t>
  </si>
  <si>
    <t>Simulador de responsabilidad social y sostenibilidad</t>
  </si>
  <si>
    <t>Inglés III</t>
  </si>
  <si>
    <t>Gestión de Bienes y Servicios</t>
  </si>
  <si>
    <t>Sistemas de Información Gerencial</t>
  </si>
  <si>
    <t>Digital / Gestión</t>
  </si>
  <si>
    <t>Simulador de sistemas de información contable/gerencial (ERP)</t>
  </si>
  <si>
    <t>Leadership</t>
  </si>
  <si>
    <t>Administración / Liderazgo</t>
  </si>
  <si>
    <t>Simulador de habilidades gerenciales y liderazgo</t>
  </si>
  <si>
    <t>Creación e Introducción de Productos</t>
  </si>
  <si>
    <t>Marketing / Innovación</t>
  </si>
  <si>
    <t>Administración y gestión financiera</t>
  </si>
  <si>
    <t>Inglés IV</t>
  </si>
  <si>
    <t>Gestión de la Cadena de Suministros</t>
  </si>
  <si>
    <t>Logística</t>
  </si>
  <si>
    <t>Simulador de logística y cadena de suministro (DFI / supply chain)</t>
  </si>
  <si>
    <t>Inteligencia de negocios y analítica de datos para la gestión</t>
  </si>
  <si>
    <t>Analítica / Digital</t>
  </si>
  <si>
    <t>Simulador de analítica de datos e inteligencia de negocios (BI)</t>
  </si>
  <si>
    <t>Gestión Humana</t>
  </si>
  <si>
    <t>RR.HH.</t>
  </si>
  <si>
    <t>Simulador de gestión del talento humano (RR.HH.)</t>
  </si>
  <si>
    <t>Negociación y Toma de Decisiones</t>
  </si>
  <si>
    <t>Negociación / Gestión</t>
  </si>
  <si>
    <t>Simulador de negociación (role-play con contraparte)</t>
  </si>
  <si>
    <t>Evaluación financiera de proyectos</t>
  </si>
  <si>
    <t>Proyectos</t>
  </si>
  <si>
    <t>Simulador de formulación y evaluación de proyectos (VPN/TIR)</t>
  </si>
  <si>
    <t>Artístico Humanístico</t>
  </si>
  <si>
    <t>Creación de Empresas</t>
  </si>
  <si>
    <t>N3-4 / N5</t>
  </si>
  <si>
    <t>Gestión del Cambio Organizacional</t>
  </si>
  <si>
    <t>Administración / RR.HH.</t>
  </si>
  <si>
    <t>Serious game de comportamiento organizacional y clima laboral</t>
  </si>
  <si>
    <t>Gestión de Proyectos</t>
  </si>
  <si>
    <t>Planeación Estratégica y Prospectiva</t>
  </si>
  <si>
    <t>Finanzas Internacionales y de Nuevos negocios</t>
  </si>
  <si>
    <t>Finanzas / Global</t>
  </si>
  <si>
    <t>Simulador de mercado cambiario, divisas y régimen cambiario (FOREX)</t>
  </si>
  <si>
    <t>Electiva Profesional I</t>
  </si>
  <si>
    <t>Electiva</t>
  </si>
  <si>
    <t>Depende de la electiva elegida (asignar simulador según su contenido)</t>
  </si>
  <si>
    <t>Consultorio Empresarial</t>
  </si>
  <si>
    <t>Práctica / Consultoría</t>
  </si>
  <si>
    <t>Habilidades Gerenciales y Carrera Profesional</t>
  </si>
  <si>
    <t>Gestión y Control de la Calidad</t>
  </si>
  <si>
    <t>Operaciones / Calidad</t>
  </si>
  <si>
    <t>Simulador de gestión de calidad y mejora de procesos</t>
  </si>
  <si>
    <t>Electiva Profesional II</t>
  </si>
  <si>
    <t>Taller de escritura científica</t>
  </si>
  <si>
    <t>Investigación / Comunicación</t>
  </si>
  <si>
    <t>Simulador del proceso de investigación (diseño de estudios y metodología)</t>
  </si>
  <si>
    <t>Electiva Profesional III</t>
  </si>
  <si>
    <t>Trabajo de grado</t>
  </si>
  <si>
    <t>Investigación</t>
  </si>
  <si>
    <t>No aplica simulador (opción de grado / investigación)</t>
  </si>
  <si>
    <t>Electiva Profesional IV</t>
  </si>
  <si>
    <t>Electiva Profesional V</t>
  </si>
  <si>
    <t>Contaduría Pública  ·  Universidad del Valle (Univalle)</t>
  </si>
  <si>
    <t>Introducción a la contaduría pública</t>
  </si>
  <si>
    <t>Fundamentos de contabilidad</t>
  </si>
  <si>
    <t>Taller de habilidades informáticas para la gestión</t>
  </si>
  <si>
    <t>Introducción al derecho y constitución política</t>
  </si>
  <si>
    <t>Estilos de vida saludable</t>
  </si>
  <si>
    <t>Álgebra lineal</t>
  </si>
  <si>
    <t>Contabilidad de los recursos y obligaciones de corto plazo</t>
  </si>
  <si>
    <t>Comprensión y producción de textos académicos generales</t>
  </si>
  <si>
    <t>Legislación comercial I</t>
  </si>
  <si>
    <t>Proceso administrativo</t>
  </si>
  <si>
    <t>Contabilidad de los recursos y obligaciones de largo plazo y patrimonio</t>
  </si>
  <si>
    <t>Legislación comercial II</t>
  </si>
  <si>
    <t>Macroeconomía y coyuntura</t>
  </si>
  <si>
    <t>Investigación y gestión de operaciones</t>
  </si>
  <si>
    <t>Informes financieros</t>
  </si>
  <si>
    <t>Hacienda pública</t>
  </si>
  <si>
    <t>Sector Público</t>
  </si>
  <si>
    <t>Simulador de finanzas y presupuesto público</t>
  </si>
  <si>
    <t>Economía de empresa</t>
  </si>
  <si>
    <t>Formación social y ciudadana</t>
  </si>
  <si>
    <t>Simulador de participación ciudadana y responsabilidad social</t>
  </si>
  <si>
    <t>Humanismo, pensamiento administrativo y organizaciones – cátedra</t>
  </si>
  <si>
    <t>Fundamentos de control, auditoría y aseguramiento</t>
  </si>
  <si>
    <t>Auditoría</t>
  </si>
  <si>
    <t>Simulador de auditoría, aseguramiento y control</t>
  </si>
  <si>
    <t>Contabilidades especiales I</t>
  </si>
  <si>
    <t>Ciencias humanas</t>
  </si>
  <si>
    <t>Contabilidad pública</t>
  </si>
  <si>
    <t>Impuesto a la renta y complementarios, impuesto al patrimonio</t>
  </si>
  <si>
    <t>Tributaria</t>
  </si>
  <si>
    <t>Simulador tributario (liquidación de impuestos y planeación fiscal)</t>
  </si>
  <si>
    <t>Auditoría, riesgos y aseguramiento</t>
  </si>
  <si>
    <t>Contabilidades especiales II</t>
  </si>
  <si>
    <t>Presupuestos</t>
  </si>
  <si>
    <t>Costos / Finanzas</t>
  </si>
  <si>
    <t>Simulador de presupuestación empresarial</t>
  </si>
  <si>
    <t>Seminario de teoría contable</t>
  </si>
  <si>
    <t>No aplica simulador (asignatura teórica/conceptual)</t>
  </si>
  <si>
    <t>Electiva profesional I</t>
  </si>
  <si>
    <t>Impuestos de IVA y consumo, y Mecanismo de retención en la fuente</t>
  </si>
  <si>
    <t>Control de gestión y gobierno corporativo</t>
  </si>
  <si>
    <t>Auditoría / Estrategia</t>
  </si>
  <si>
    <t>Sistemas de información y bases de datos contables</t>
  </si>
  <si>
    <t>Contabilidad / Digital</t>
  </si>
  <si>
    <t>Laboratorio contable I</t>
  </si>
  <si>
    <t>Laboratorio simulado: encaje ideal</t>
  </si>
  <si>
    <t>Electiva profesional II</t>
  </si>
  <si>
    <t>Procedimiento tributario</t>
  </si>
  <si>
    <t>Revisoría fiscal</t>
  </si>
  <si>
    <t>Laboratorio contable II</t>
  </si>
  <si>
    <t>Seguridad de la información contable</t>
  </si>
  <si>
    <t>Auditoría / Digital</t>
  </si>
  <si>
    <t>Contabilidad de gestión</t>
  </si>
  <si>
    <t>Costos / Contabilidad</t>
  </si>
  <si>
    <t>Ética y desarrollo profesional – PACP</t>
  </si>
  <si>
    <t>Ética</t>
  </si>
  <si>
    <t>Serious game de dilemas éticos y ética profesional</t>
  </si>
  <si>
    <t>Taller de habilidades gerenciales enfoque contable financiero</t>
  </si>
  <si>
    <t>Electiva profesional III</t>
  </si>
  <si>
    <t>Electiva profesional IV</t>
  </si>
  <si>
    <t>Electiva profesional V</t>
  </si>
  <si>
    <t>Artístico humanístico</t>
  </si>
  <si>
    <t>Consultorio empresarial</t>
  </si>
  <si>
    <t>Contabilidad / Práctica</t>
  </si>
  <si>
    <t>Comercio Exterior  ·  Universidad del Valle (Univalle)</t>
  </si>
  <si>
    <t>Taller de Habilidades Informáticas para la Gestión</t>
  </si>
  <si>
    <t>Régimen Aduanero</t>
  </si>
  <si>
    <t>Simulador de comercio exterior, aduanas y medios de pago</t>
  </si>
  <si>
    <t>Comprensión y Producción de Textos Académicos</t>
  </si>
  <si>
    <t>Lenguas I</t>
  </si>
  <si>
    <t>Estadística I para las Ciencias de la Administración</t>
  </si>
  <si>
    <t>Matemática para Finanzas</t>
  </si>
  <si>
    <t>Legislación Laboral</t>
  </si>
  <si>
    <t>Importaciones</t>
  </si>
  <si>
    <t>Lenguas II</t>
  </si>
  <si>
    <t>Estadística II para las Ciencias de la Administración</t>
  </si>
  <si>
    <t>Derecho Internacional Público y Privado</t>
  </si>
  <si>
    <t>Teoría de Comercio Exterior</t>
  </si>
  <si>
    <t>Exportaciones</t>
  </si>
  <si>
    <t>Lenguas III</t>
  </si>
  <si>
    <t>Humanismo, Pensamiento Administrativo y Organizaciones</t>
  </si>
  <si>
    <t>Régimen Cambiario</t>
  </si>
  <si>
    <t>Comercio Exterior / Finanzas</t>
  </si>
  <si>
    <t>Técnicas de Negociación Internacional</t>
  </si>
  <si>
    <t>Negociación</t>
  </si>
  <si>
    <t>Análisis de los Sistemas de Producción de Bienes y Servicios</t>
  </si>
  <si>
    <t>Simulador de gestión de operaciones y producción</t>
  </si>
  <si>
    <t>Lenguas IV</t>
  </si>
  <si>
    <t>Análisis de Costos y Presupuestos</t>
  </si>
  <si>
    <t>Estrategias y Negocios Internacionales</t>
  </si>
  <si>
    <t>Estrategia / Global</t>
  </si>
  <si>
    <t>Logística y Distribución Física Nacional e Internacional</t>
  </si>
  <si>
    <t>Tratados y Acuerdos Comerciales</t>
  </si>
  <si>
    <t>Geoeconomía</t>
  </si>
  <si>
    <t>Economía / Global</t>
  </si>
  <si>
    <t>Inteligencia de Negocios y Analítica de Datos para la Gestión</t>
  </si>
  <si>
    <t>Administración y Gestión Financiera</t>
  </si>
  <si>
    <t>Contratación Internacional</t>
  </si>
  <si>
    <t>Investigación de Mercados Internacionales</t>
  </si>
  <si>
    <t>Marketing / Global</t>
  </si>
  <si>
    <t>Evaluación Financiera de Proyectos</t>
  </si>
  <si>
    <t>Finanzas Internacionales</t>
  </si>
  <si>
    <t>Taller de Escritura Científica</t>
  </si>
  <si>
    <t>Integración Económica y Bloques Comerciales</t>
  </si>
  <si>
    <t>Comercio Exterior / Global</t>
  </si>
  <si>
    <t>Requisitos y Normas Internacionales para Bienes y Servicios</t>
  </si>
  <si>
    <t>Trabajo de Grado</t>
  </si>
  <si>
    <t>Electiva Profesional</t>
  </si>
  <si>
    <t>Finanzas y Banca  ·  Universidad del Valle (Univalle)</t>
  </si>
  <si>
    <t>Matemática I</t>
  </si>
  <si>
    <t>Fundamentos contabilidad</t>
  </si>
  <si>
    <t>Fundamentos economía y comercio</t>
  </si>
  <si>
    <t>Historia financiera y bancaria</t>
  </si>
  <si>
    <t>Finanzas / Banca</t>
  </si>
  <si>
    <t>Componente artístico humanístico</t>
  </si>
  <si>
    <t>Matemática II</t>
  </si>
  <si>
    <t>Contabilidad financiera</t>
  </si>
  <si>
    <t>Sistemas de información financiera (TIC)</t>
  </si>
  <si>
    <t>Finanzas / Digital</t>
  </si>
  <si>
    <t>Introducción al derecho y la constitución política</t>
  </si>
  <si>
    <t>Componente estilos de vida saludable</t>
  </si>
  <si>
    <t>Estadística I</t>
  </si>
  <si>
    <t>Contabilidad de Instituciones Financieras I</t>
  </si>
  <si>
    <t>Macroeconomía</t>
  </si>
  <si>
    <t>Productos y servicios de mercados financieros</t>
  </si>
  <si>
    <t>Simulador de banca y negocios financieros digitales</t>
  </si>
  <si>
    <t>Componente científico tecnológico</t>
  </si>
  <si>
    <t>Estadística II</t>
  </si>
  <si>
    <t>Matemática financiera</t>
  </si>
  <si>
    <t>Contabilidad de instituciones financieras II</t>
  </si>
  <si>
    <t>Análisis financiero</t>
  </si>
  <si>
    <t>Componente Lenguaje y comunicación</t>
  </si>
  <si>
    <t>Formulación y evaluación de proyectos financieros</t>
  </si>
  <si>
    <t>Costos y presupuestos</t>
  </si>
  <si>
    <t>Administración financiera</t>
  </si>
  <si>
    <t>Econometría</t>
  </si>
  <si>
    <t>Economía / Cuantitativa</t>
  </si>
  <si>
    <t>Mercados financieros</t>
  </si>
  <si>
    <t>Metodología de la Investigación</t>
  </si>
  <si>
    <t>Control Interno y gobierno corporativo</t>
  </si>
  <si>
    <t>Contabilidad Pública</t>
  </si>
  <si>
    <t>Inversiones y Riesgos</t>
  </si>
  <si>
    <t>Finanzas / Riesgo</t>
  </si>
  <si>
    <t>Simulador de gestión de riesgos y portafolios</t>
  </si>
  <si>
    <t>Ética y desarrollo profesional</t>
  </si>
  <si>
    <t>Fondos de pensiones, de cesantías y seguros</t>
  </si>
  <si>
    <t>Banca pública</t>
  </si>
  <si>
    <t>Finanzas públicas</t>
  </si>
  <si>
    <t>Valoración de empresas</t>
  </si>
  <si>
    <t>Seguridad de la información financiera y contable</t>
  </si>
  <si>
    <t>Gestión tributaria</t>
  </si>
  <si>
    <t>Auditoría y aseguramiento</t>
  </si>
  <si>
    <t>Economía y Finanzas Internacionales</t>
  </si>
  <si>
    <t>Autorregulación del Mercado de Valores</t>
  </si>
  <si>
    <t>Banca de entidades solidarias</t>
  </si>
  <si>
    <t>Trabajo de Grado I</t>
  </si>
  <si>
    <t>Trabajo de Grado II</t>
  </si>
  <si>
    <t>Economía  ·  Universidad del Valle (Univalle)</t>
  </si>
  <si>
    <t>Principios de Economía</t>
  </si>
  <si>
    <t>Teoría Social</t>
  </si>
  <si>
    <t>Humanidades / Economía</t>
  </si>
  <si>
    <t>Matemática Básica</t>
  </si>
  <si>
    <t>Historia Económica General</t>
  </si>
  <si>
    <t>Comprensión y Producción de Textos Académicos Generales</t>
  </si>
  <si>
    <t>Microeconomía I</t>
  </si>
  <si>
    <t>Filosofía Política</t>
  </si>
  <si>
    <t>Cálculo I</t>
  </si>
  <si>
    <t>Formación Social y Ciudadana</t>
  </si>
  <si>
    <t>Microeconomía II</t>
  </si>
  <si>
    <t>Fundamentos de Programación para Economía</t>
  </si>
  <si>
    <t>Digital / Cuantitativa</t>
  </si>
  <si>
    <t>Cálculo II</t>
  </si>
  <si>
    <t>Medición Socioeconómica</t>
  </si>
  <si>
    <t>Economía / Estadística</t>
  </si>
  <si>
    <t>Teoría del Bienestar</t>
  </si>
  <si>
    <t>Macroeconomía I</t>
  </si>
  <si>
    <t>Economía Matemática</t>
  </si>
  <si>
    <t>Enfoque Plural I</t>
  </si>
  <si>
    <t>Teoría de Juegos</t>
  </si>
  <si>
    <t>Macroeconomía II</t>
  </si>
  <si>
    <t>Econometría I</t>
  </si>
  <si>
    <t>Enfoque Plural II</t>
  </si>
  <si>
    <t>Ciencias Ambientales</t>
  </si>
  <si>
    <t>Simulador de gestión ambiental y sostenibilidad</t>
  </si>
  <si>
    <t>Formación en Estilos de Vida Saludable</t>
  </si>
  <si>
    <t>Evaluación Socioambiental de Proyectos</t>
  </si>
  <si>
    <t>Proyectos / Sostenibilidad</t>
  </si>
  <si>
    <t>Macroeconomía Dinámica</t>
  </si>
  <si>
    <t>Econometría II</t>
  </si>
  <si>
    <t>Enfoque Plural III</t>
  </si>
  <si>
    <t>Historia Económica de Colombia</t>
  </si>
  <si>
    <t>Formación Científico-Tecnológica</t>
  </si>
  <si>
    <t>Política Económica</t>
  </si>
  <si>
    <t>Metodología de la Economía</t>
  </si>
  <si>
    <t>Investigación / Economía</t>
  </si>
  <si>
    <t>Economía Internacional</t>
  </si>
  <si>
    <t>Seminario de Investigación</t>
  </si>
  <si>
    <t>Español y Comunicación II</t>
  </si>
  <si>
    <t>Teoría y Política del Desarrollo</t>
  </si>
  <si>
    <t>Problemas Colombianos</t>
  </si>
  <si>
    <t>Economía / Sociedad</t>
  </si>
  <si>
    <t>Formación Artístico y Humanístico</t>
  </si>
  <si>
    <t>Gestión Emprend. e Innovación  ·  Universidad del Valle (Univalle)</t>
  </si>
  <si>
    <t>Creatividad e Innovación</t>
  </si>
  <si>
    <t>Innovación</t>
  </si>
  <si>
    <t>Simulador de creatividad, innovación y design thinking</t>
  </si>
  <si>
    <t>Teorías y Modelos de Emprendimiento e Innovación</t>
  </si>
  <si>
    <t>Empresas y Empresarios (Investigación y Estudios de Caso)</t>
  </si>
  <si>
    <t>Liderazgo y Trabajo en Equipo</t>
  </si>
  <si>
    <t>Mercadeo Estratégico</t>
  </si>
  <si>
    <t>Legislación Comercial y Tributaria</t>
  </si>
  <si>
    <t>Jurídica / Tributaria</t>
  </si>
  <si>
    <t>Científico Tecnológico</t>
  </si>
  <si>
    <t>Análisis y Diagnóstico del Entorno</t>
  </si>
  <si>
    <t>Estadística para las Ciencias de la Administración</t>
  </si>
  <si>
    <t>Ideación de Diseño de Nuevos Productos y Servicios</t>
  </si>
  <si>
    <t>Innovación / Marketing</t>
  </si>
  <si>
    <t>Habilidades Gerenciales</t>
  </si>
  <si>
    <t>Matemáticas para Finanzas</t>
  </si>
  <si>
    <t>Diseño y Gestión de Sistemas Productivos y Logísticos</t>
  </si>
  <si>
    <t>Operaciones / Logística</t>
  </si>
  <si>
    <t>Investigación de Mercados Estratégicos</t>
  </si>
  <si>
    <t>Estilo de Vida Saludable</t>
  </si>
  <si>
    <t>Diseño de Nuevos Modelos de Negocios</t>
  </si>
  <si>
    <t>Emprendimiento / Innovación</t>
  </si>
  <si>
    <t>Gestión del Cambio, Riesgo y la Incertidumbre</t>
  </si>
  <si>
    <t>Administración / Riesgo</t>
  </si>
  <si>
    <t>Previsión y Prospectiva Estratégica</t>
  </si>
  <si>
    <t>Ética de los Negocios, Responsabilidad Social y Sostenibilidad Ambiental</t>
  </si>
  <si>
    <t>Sostenibilidad / Ética</t>
  </si>
  <si>
    <t>Red de Relaciones, Financiación e Inversión</t>
  </si>
  <si>
    <t>Finanzas / Emprendimiento</t>
  </si>
  <si>
    <t>Laboratorio Empresarial Experiencial</t>
  </si>
  <si>
    <t>Emprendimiento / Simulación</t>
  </si>
  <si>
    <t>Laboratorio empresarial: encaje ideal</t>
  </si>
  <si>
    <t>Derechos de Autor y Propiedad Intelectual</t>
  </si>
  <si>
    <t>Planeación y Direccionamiento Estratégico</t>
  </si>
  <si>
    <t>Gestión de Calidad y Productividad</t>
  </si>
  <si>
    <t>Entorno Global, Interculturalidad y Negociación</t>
  </si>
  <si>
    <t>Global / Negociación</t>
  </si>
  <si>
    <t>Trabajo de Grado Integrador I</t>
  </si>
  <si>
    <t>Gerencia de Proyecto Emprendedor</t>
  </si>
  <si>
    <t>Proyectos / Emprendimiento</t>
  </si>
  <si>
    <t>Análisis y Toma de Decisiones</t>
  </si>
  <si>
    <t>Gestión / Cuantitativa</t>
  </si>
  <si>
    <t>Dirección de Empresas Familiares</t>
  </si>
  <si>
    <t>Administración / Estrategia</t>
  </si>
  <si>
    <t>Gestión Tecnológica y Digital</t>
  </si>
  <si>
    <t>Innovación / Digital</t>
  </si>
  <si>
    <t>Trabajo de Grado Integrador II</t>
  </si>
  <si>
    <t>Gestión de Conocimiento e Innovación</t>
  </si>
  <si>
    <t>Gobierno Corporativo, Protocolo de Familia y Sucesión</t>
  </si>
  <si>
    <t>Estrategia / Gobierno</t>
  </si>
  <si>
    <t>Serious game de gobierno corporativo y empresa familiar</t>
  </si>
  <si>
    <t>Lenguaje Gerencial, Discurso y Oratoria</t>
  </si>
  <si>
    <t>Negocios Internacionales</t>
  </si>
  <si>
    <t>Administración Turística  ·  Universidad del Valle (Univalle)</t>
  </si>
  <si>
    <t>Fundamentos de economía y comercio</t>
  </si>
  <si>
    <t>Comprensión y producción de textos académicos</t>
  </si>
  <si>
    <t>Desarrollo turístico</t>
  </si>
  <si>
    <t>Turismo</t>
  </si>
  <si>
    <t>Simulador de planificación y gestión de destinos turísticos</t>
  </si>
  <si>
    <t>Contabilidad de costos para org. turísticas</t>
  </si>
  <si>
    <t>Geografía turística</t>
  </si>
  <si>
    <t>Estadística I para ciencias de admón.</t>
  </si>
  <si>
    <t>Legislación turística</t>
  </si>
  <si>
    <t>Patrimonio, cultura y turismo</t>
  </si>
  <si>
    <t>Gestión de organizaciones gastronómicas</t>
  </si>
  <si>
    <t>HORECA / A&amp;B</t>
  </si>
  <si>
    <t>Estadística II para ciencias de admón.</t>
  </si>
  <si>
    <t>Español y comunicación</t>
  </si>
  <si>
    <t>Ambiente, desarrollo sostenible y turismo</t>
  </si>
  <si>
    <t>Turismo / Sostenibilidad</t>
  </si>
  <si>
    <t>Gestión del talento humano en org. turísticas</t>
  </si>
  <si>
    <t>Gestión de establecimientos, tabernas y bares</t>
  </si>
  <si>
    <t>Gestión de organizaciones de hospedaje</t>
  </si>
  <si>
    <t>Hotelería</t>
  </si>
  <si>
    <t>Imagen de destino turístico</t>
  </si>
  <si>
    <t>Turismo / Marketing</t>
  </si>
  <si>
    <t>Marketing de servicios</t>
  </si>
  <si>
    <t>Marketing / Servicios</t>
  </si>
  <si>
    <t>Simulador de marketing de servicios</t>
  </si>
  <si>
    <t>Español y comunicación II</t>
  </si>
  <si>
    <t>Desarrollo de experiencias turísticas</t>
  </si>
  <si>
    <t>Turismo / Servicios</t>
  </si>
  <si>
    <t>Simulador de servicio al cliente y experiencia (CX)</t>
  </si>
  <si>
    <t>Marketing electrónico para el turismo</t>
  </si>
  <si>
    <t>Marketing / Digital</t>
  </si>
  <si>
    <t>Simulador de marketing digital y e-commerce</t>
  </si>
  <si>
    <t>Inteligencia de negocios y analítica para la gestión</t>
  </si>
  <si>
    <t>Servicio al cliente y relaciones públicas</t>
  </si>
  <si>
    <t>Servicios</t>
  </si>
  <si>
    <t>Gestión de agencias de viaje</t>
  </si>
  <si>
    <t>Gestión de turismo internacional</t>
  </si>
  <si>
    <t>Turismo / Global</t>
  </si>
  <si>
    <t>Trabajo de grado I</t>
  </si>
  <si>
    <t>Gerencia de calidad</t>
  </si>
  <si>
    <t>Innovación en turismo</t>
  </si>
  <si>
    <t>Innovación / Turismo</t>
  </si>
  <si>
    <t>Trabajo de grado II</t>
  </si>
  <si>
    <t>Turismo sostenible (electiva)</t>
  </si>
  <si>
    <t>Gestión de eventos MICE (electiva)</t>
  </si>
  <si>
    <t>Servicios / MICE</t>
  </si>
  <si>
    <t>Energy &amp; Co</t>
  </si>
  <si>
    <t>N2</t>
  </si>
  <si>
    <t xml:space="preserve">Inter Pyme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</si>
</sst>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sz val="10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10"/>
      <color rgb="FF006100"/>
      <name val="Arial"/>
      <family val="2"/>
    </font>
    <font>
      <b/>
      <sz val="10"/>
      <color rgb="FF9C6500"/>
      <name val="Arial"/>
      <family val="2"/>
    </font>
    <font>
      <b/>
      <sz val="10"/>
      <color rgb="FF9C0006"/>
      <name val="Arial"/>
      <family val="2"/>
    </font>
    <font>
      <sz val="9"/>
      <color rgb="FF595959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3"/>
      <color rgb="FF1F3864"/>
      <name val="Arial"/>
      <family val="2"/>
    </font>
    <font>
      <b/>
      <sz val="9"/>
      <color rgb="FF9C0006"/>
      <name val="Arial"/>
      <family val="2"/>
    </font>
    <font>
      <sz val="10"/>
      <color rgb="FF808080"/>
      <name val="Arial"/>
      <family val="2"/>
    </font>
    <font>
      <b/>
      <sz val="9"/>
      <color rgb="FF006100"/>
      <name val="Arial"/>
      <family val="2"/>
    </font>
    <font>
      <b/>
      <sz val="9"/>
      <color rgb="FF9C650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7" fillId="0" borderId="0" xfId="0" applyFont="1"/>
    <xf numFmtId="0" fontId="8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4" fillId="0" borderId="0" xfId="0" applyFont="1"/>
    <xf numFmtId="0" fontId="16" fillId="0" borderId="1" xfId="0" applyFont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0"/>
  <sheetViews>
    <sheetView showGridLines="0" topLeftCell="A32" workbookViewId="0"/>
  </sheetViews>
  <sheetFormatPr baseColWidth="10" defaultColWidth="9.140625" defaultRowHeight="15" x14ac:dyDescent="0.25"/>
  <cols>
    <col min="1" max="1" width="2" customWidth="1"/>
    <col min="2" max="2" width="34" customWidth="1"/>
    <col min="3" max="7" width="16" customWidth="1"/>
  </cols>
  <sheetData>
    <row r="2" spans="2:7" ht="20.25" x14ac:dyDescent="0.3">
      <c r="B2" s="1" t="s">
        <v>0</v>
      </c>
    </row>
    <row r="3" spans="2:7" x14ac:dyDescent="0.25">
      <c r="B3" s="2" t="s">
        <v>1</v>
      </c>
    </row>
    <row r="4" spans="2:7" x14ac:dyDescent="0.25">
      <c r="B4" s="3" t="s">
        <v>2</v>
      </c>
    </row>
    <row r="6" spans="2:7" ht="25.5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spans="2:7" x14ac:dyDescent="0.25">
      <c r="B7" s="5" t="s">
        <v>9</v>
      </c>
      <c r="C7" s="6">
        <f>COUNTA('Administración de Empresas'!$B$3:$B$200)</f>
        <v>61</v>
      </c>
      <c r="D7" s="6">
        <f>COUNTIF('Administración de Empresas'!$F$3:$F$200,"Encaje perfecto")</f>
        <v>7</v>
      </c>
      <c r="E7" s="6">
        <f>COUNTIF('Administración de Empresas'!$F$3:$F$200,"Encaje parcial")</f>
        <v>6</v>
      </c>
      <c r="F7" s="6">
        <f>COUNTIF('Administración de Empresas'!$F$3:$F$200,"No encaja")</f>
        <v>47</v>
      </c>
      <c r="G7" s="7">
        <f t="shared" ref="G7:G14" si="0">IFERROR((D7+E7)/C7,0)</f>
        <v>0.21311475409836064</v>
      </c>
    </row>
    <row r="8" spans="2:7" x14ac:dyDescent="0.25">
      <c r="B8" s="5" t="s">
        <v>10</v>
      </c>
      <c r="C8" s="6">
        <f>COUNTA('Contaduría Pública'!$B$3:$B$200)</f>
        <v>63</v>
      </c>
      <c r="D8" s="6">
        <f>COUNTIF('Contaduría Pública'!$F$3:$F$200,"Encaje perfecto")</f>
        <v>3</v>
      </c>
      <c r="E8" s="6">
        <f>COUNTIF('Contaduría Pública'!$F$3:$F$200,"Encaje parcial")</f>
        <v>4</v>
      </c>
      <c r="F8" s="6">
        <f>COUNTIF('Contaduría Pública'!$F$3:$F$200,"No encaja")</f>
        <v>56</v>
      </c>
      <c r="G8" s="7">
        <f t="shared" si="0"/>
        <v>0.1111111111111111</v>
      </c>
    </row>
    <row r="9" spans="2:7" x14ac:dyDescent="0.25">
      <c r="B9" s="5" t="s">
        <v>11</v>
      </c>
      <c r="C9" s="6">
        <f>COUNTA('Comercio Exterior'!$B$3:$B$200)</f>
        <v>49</v>
      </c>
      <c r="D9" s="6">
        <f>COUNTIF('Comercio Exterior'!$F$3:$F$200,"Encaje perfecto")</f>
        <v>4</v>
      </c>
      <c r="E9" s="6">
        <f>COUNTIF('Comercio Exterior'!$F$3:$F$200,"Encaje parcial")</f>
        <v>8</v>
      </c>
      <c r="F9" s="6">
        <f>COUNTIF('Comercio Exterior'!$F$3:$F$200,"No encaja")</f>
        <v>37</v>
      </c>
      <c r="G9" s="7">
        <f t="shared" si="0"/>
        <v>0.24489795918367346</v>
      </c>
    </row>
    <row r="10" spans="2:7" x14ac:dyDescent="0.25">
      <c r="B10" s="5" t="s">
        <v>12</v>
      </c>
      <c r="C10" s="6">
        <f>COUNTA('Finanzas y Banca'!$B$3:$B$200)</f>
        <v>52</v>
      </c>
      <c r="D10" s="6">
        <f>COUNTIF('Finanzas y Banca'!$F$3:$F$200,"Encaje perfecto")</f>
        <v>4</v>
      </c>
      <c r="E10" s="6">
        <f>COUNTIF('Finanzas y Banca'!$F$3:$F$200,"Encaje parcial")</f>
        <v>4</v>
      </c>
      <c r="F10" s="6">
        <f>COUNTIF('Finanzas y Banca'!$F$3:$F$200,"No encaja")</f>
        <v>44</v>
      </c>
      <c r="G10" s="7">
        <f t="shared" si="0"/>
        <v>0.15384615384615385</v>
      </c>
    </row>
    <row r="11" spans="2:7" x14ac:dyDescent="0.25">
      <c r="B11" s="5" t="s">
        <v>13</v>
      </c>
      <c r="C11" s="6">
        <f>COUNTA(Economía!$B$3:$B$200)</f>
        <v>50</v>
      </c>
      <c r="D11" s="6">
        <f>COUNTIF(Economía!$F$3:$F$200,"Encaje perfecto")</f>
        <v>0</v>
      </c>
      <c r="E11" s="6">
        <f>COUNTIF(Economía!$F$3:$F$200,"Encaje parcial")</f>
        <v>3</v>
      </c>
      <c r="F11" s="6">
        <f>COUNTIF(Economía!$F$3:$F$200,"No encaja")</f>
        <v>47</v>
      </c>
      <c r="G11" s="7">
        <f t="shared" si="0"/>
        <v>0.06</v>
      </c>
    </row>
    <row r="12" spans="2:7" x14ac:dyDescent="0.25">
      <c r="B12" s="5" t="s">
        <v>14</v>
      </c>
      <c r="C12" s="6">
        <f>COUNTA('Gestión Emprend. e Innovación'!$B$3:$B$200)</f>
        <v>56</v>
      </c>
      <c r="D12" s="6">
        <f>COUNTIF('Gestión Emprend. e Innovación'!$F$3:$F$200,"Encaje perfecto")</f>
        <v>6</v>
      </c>
      <c r="E12" s="6">
        <f>COUNTIF('Gestión Emprend. e Innovación'!$F$3:$F$200,"Encaje parcial")</f>
        <v>9</v>
      </c>
      <c r="F12" s="6">
        <f>COUNTIF('Gestión Emprend. e Innovación'!$F$3:$F$200,"No encaja")</f>
        <v>41</v>
      </c>
      <c r="G12" s="7">
        <f t="shared" si="0"/>
        <v>0.26785714285714285</v>
      </c>
    </row>
    <row r="13" spans="2:7" x14ac:dyDescent="0.25">
      <c r="B13" s="5" t="s">
        <v>15</v>
      </c>
      <c r="C13" s="6">
        <f>COUNTA('Administración Turística'!$B$3:$B$200)</f>
        <v>50</v>
      </c>
      <c r="D13" s="6">
        <f>COUNTIF('Administración Turística'!$F$3:$F$200,"Encaje perfecto")</f>
        <v>5</v>
      </c>
      <c r="E13" s="6">
        <f>COUNTIF('Administración Turística'!$F$3:$F$200,"Encaje parcial")</f>
        <v>7</v>
      </c>
      <c r="F13" s="6">
        <f>COUNTIF('Administración Turística'!$F$3:$F$200,"No encaja")</f>
        <v>38</v>
      </c>
      <c r="G13" s="7">
        <f t="shared" si="0"/>
        <v>0.24</v>
      </c>
    </row>
    <row r="14" spans="2:7" x14ac:dyDescent="0.25">
      <c r="B14" s="8" t="s">
        <v>16</v>
      </c>
      <c r="C14" s="9">
        <f>SUM(C7:C13)</f>
        <v>381</v>
      </c>
      <c r="D14" s="9">
        <f>SUM(D7:D13)</f>
        <v>29</v>
      </c>
      <c r="E14" s="9">
        <f>SUM(E7:E13)</f>
        <v>41</v>
      </c>
      <c r="F14" s="9">
        <f>SUM(F7:F13)</f>
        <v>310</v>
      </c>
      <c r="G14" s="10">
        <f t="shared" si="0"/>
        <v>0.18372703412073491</v>
      </c>
    </row>
    <row r="16" spans="2:7" x14ac:dyDescent="0.25">
      <c r="B16" s="11" t="s">
        <v>17</v>
      </c>
    </row>
    <row r="17" spans="2:7" x14ac:dyDescent="0.25">
      <c r="B17" s="12" t="s">
        <v>5</v>
      </c>
      <c r="C17" s="28" t="s">
        <v>18</v>
      </c>
      <c r="D17" s="29"/>
      <c r="E17" s="29"/>
      <c r="F17" s="29"/>
      <c r="G17" s="29"/>
    </row>
    <row r="18" spans="2:7" x14ac:dyDescent="0.25">
      <c r="B18" s="13" t="s">
        <v>6</v>
      </c>
      <c r="C18" s="28" t="s">
        <v>19</v>
      </c>
      <c r="D18" s="29"/>
      <c r="E18" s="29"/>
      <c r="F18" s="29"/>
      <c r="G18" s="29"/>
    </row>
    <row r="19" spans="2:7" x14ac:dyDescent="0.25">
      <c r="B19" s="14" t="s">
        <v>20</v>
      </c>
      <c r="C19" s="28" t="s">
        <v>21</v>
      </c>
      <c r="D19" s="29"/>
      <c r="E19" s="29"/>
      <c r="F19" s="29"/>
      <c r="G19" s="29"/>
    </row>
    <row r="21" spans="2:7" x14ac:dyDescent="0.25">
      <c r="B21" s="11" t="s">
        <v>22</v>
      </c>
    </row>
    <row r="22" spans="2:7" x14ac:dyDescent="0.25">
      <c r="B22" s="15" t="s">
        <v>23</v>
      </c>
    </row>
    <row r="23" spans="2:7" x14ac:dyDescent="0.25">
      <c r="B23" s="15" t="s">
        <v>24</v>
      </c>
    </row>
    <row r="24" spans="2:7" x14ac:dyDescent="0.25">
      <c r="B24" s="15" t="s">
        <v>25</v>
      </c>
    </row>
    <row r="25" spans="2:7" x14ac:dyDescent="0.25">
      <c r="B25" s="15" t="s">
        <v>26</v>
      </c>
    </row>
    <row r="26" spans="2:7" x14ac:dyDescent="0.25">
      <c r="B26" s="15" t="s">
        <v>27</v>
      </c>
    </row>
    <row r="27" spans="2:7" x14ac:dyDescent="0.25">
      <c r="B27" s="15" t="s">
        <v>28</v>
      </c>
    </row>
    <row r="28" spans="2:7" x14ac:dyDescent="0.25">
      <c r="B28" s="15" t="s">
        <v>29</v>
      </c>
    </row>
    <row r="29" spans="2:7" x14ac:dyDescent="0.25">
      <c r="B29" s="15" t="s">
        <v>30</v>
      </c>
    </row>
    <row r="30" spans="2:7" x14ac:dyDescent="0.25">
      <c r="B30" s="15" t="s">
        <v>31</v>
      </c>
    </row>
  </sheetData>
  <mergeCells count="3">
    <mergeCell ref="C19:G19"/>
    <mergeCell ref="C18:G18"/>
    <mergeCell ref="C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30" customWidth="1"/>
    <col min="2" max="2" width="26" customWidth="1"/>
    <col min="3" max="3" width="12" customWidth="1"/>
    <col min="4" max="4" width="60" customWidth="1"/>
  </cols>
  <sheetData>
    <row r="1" spans="1:4" ht="18" x14ac:dyDescent="0.25">
      <c r="A1" s="16" t="s">
        <v>32</v>
      </c>
    </row>
    <row r="2" spans="1:4" x14ac:dyDescent="0.25">
      <c r="A2" s="17" t="s">
        <v>33</v>
      </c>
    </row>
    <row r="4" spans="1:4" x14ac:dyDescent="0.25">
      <c r="A4" s="4" t="s">
        <v>34</v>
      </c>
      <c r="B4" s="4" t="s">
        <v>35</v>
      </c>
      <c r="C4" s="4" t="s">
        <v>36</v>
      </c>
      <c r="D4" s="4" t="s">
        <v>37</v>
      </c>
    </row>
    <row r="5" spans="1:4" x14ac:dyDescent="0.25">
      <c r="A5" s="18" t="s">
        <v>38</v>
      </c>
      <c r="B5" s="19" t="s">
        <v>39</v>
      </c>
      <c r="C5" s="20" t="s">
        <v>40</v>
      </c>
      <c r="D5" s="21" t="s">
        <v>41</v>
      </c>
    </row>
    <row r="6" spans="1:4" x14ac:dyDescent="0.25">
      <c r="A6" s="21" t="s">
        <v>38</v>
      </c>
      <c r="B6" s="19" t="s">
        <v>42</v>
      </c>
      <c r="C6" s="20" t="s">
        <v>40</v>
      </c>
      <c r="D6" s="21" t="s">
        <v>43</v>
      </c>
    </row>
    <row r="7" spans="1:4" x14ac:dyDescent="0.25">
      <c r="A7" s="21" t="s">
        <v>38</v>
      </c>
      <c r="B7" s="19" t="s">
        <v>44</v>
      </c>
      <c r="C7" s="20" t="s">
        <v>40</v>
      </c>
      <c r="D7" s="21" t="s">
        <v>45</v>
      </c>
    </row>
    <row r="8" spans="1:4" x14ac:dyDescent="0.25">
      <c r="A8" s="21" t="s">
        <v>38</v>
      </c>
      <c r="B8" s="19" t="s">
        <v>46</v>
      </c>
      <c r="C8" s="20" t="s">
        <v>47</v>
      </c>
      <c r="D8" s="21" t="s">
        <v>48</v>
      </c>
    </row>
    <row r="9" spans="1:4" x14ac:dyDescent="0.25">
      <c r="A9" s="21" t="s">
        <v>38</v>
      </c>
      <c r="B9" s="19" t="s">
        <v>49</v>
      </c>
      <c r="C9" s="20" t="s">
        <v>50</v>
      </c>
      <c r="D9" s="21" t="s">
        <v>51</v>
      </c>
    </row>
    <row r="10" spans="1:4" x14ac:dyDescent="0.25">
      <c r="A10" s="21" t="s">
        <v>38</v>
      </c>
      <c r="B10" s="19" t="s">
        <v>52</v>
      </c>
      <c r="C10" s="20" t="s">
        <v>53</v>
      </c>
      <c r="D10" s="21" t="s">
        <v>54</v>
      </c>
    </row>
    <row r="11" spans="1:4" x14ac:dyDescent="0.25">
      <c r="A11" s="18" t="s">
        <v>55</v>
      </c>
      <c r="B11" s="19" t="s">
        <v>56</v>
      </c>
      <c r="C11" s="20" t="s">
        <v>40</v>
      </c>
      <c r="D11" s="21" t="s">
        <v>57</v>
      </c>
    </row>
    <row r="12" spans="1:4" x14ac:dyDescent="0.25">
      <c r="A12" s="21" t="s">
        <v>55</v>
      </c>
      <c r="B12" s="19" t="s">
        <v>58</v>
      </c>
      <c r="C12" s="20" t="s">
        <v>40</v>
      </c>
      <c r="D12" s="21" t="s">
        <v>59</v>
      </c>
    </row>
    <row r="13" spans="1:4" x14ac:dyDescent="0.25">
      <c r="A13" s="21" t="s">
        <v>55</v>
      </c>
      <c r="B13" s="19" t="s">
        <v>60</v>
      </c>
      <c r="C13" s="20" t="s">
        <v>47</v>
      </c>
      <c r="D13" s="21" t="s">
        <v>61</v>
      </c>
    </row>
    <row r="14" spans="1:4" x14ac:dyDescent="0.25">
      <c r="A14" s="21" t="s">
        <v>55</v>
      </c>
      <c r="B14" s="19" t="s">
        <v>62</v>
      </c>
      <c r="C14" s="20" t="s">
        <v>47</v>
      </c>
      <c r="D14" s="21" t="s">
        <v>63</v>
      </c>
    </row>
    <row r="15" spans="1:4" x14ac:dyDescent="0.25">
      <c r="A15" s="21" t="s">
        <v>55</v>
      </c>
      <c r="B15" s="19" t="s">
        <v>64</v>
      </c>
      <c r="C15" s="20" t="s">
        <v>50</v>
      </c>
      <c r="D15" s="21" t="s">
        <v>65</v>
      </c>
    </row>
    <row r="16" spans="1:4" x14ac:dyDescent="0.25">
      <c r="A16" s="21" t="s">
        <v>55</v>
      </c>
      <c r="B16" s="19" t="s">
        <v>66</v>
      </c>
      <c r="C16" s="20" t="s">
        <v>50</v>
      </c>
      <c r="D16" s="21" t="s">
        <v>67</v>
      </c>
    </row>
    <row r="17" spans="1:4" x14ac:dyDescent="0.25">
      <c r="A17" s="21" t="s">
        <v>55</v>
      </c>
      <c r="B17" s="19" t="s">
        <v>68</v>
      </c>
      <c r="C17" s="20" t="s">
        <v>53</v>
      </c>
      <c r="D17" s="21" t="s">
        <v>69</v>
      </c>
    </row>
    <row r="18" spans="1:4" x14ac:dyDescent="0.25">
      <c r="A18" s="18" t="s">
        <v>12</v>
      </c>
      <c r="B18" s="19" t="s">
        <v>70</v>
      </c>
      <c r="C18" s="20" t="s">
        <v>40</v>
      </c>
      <c r="D18" s="21" t="s">
        <v>71</v>
      </c>
    </row>
    <row r="19" spans="1:4" x14ac:dyDescent="0.25">
      <c r="A19" s="21" t="s">
        <v>12</v>
      </c>
      <c r="B19" s="19" t="s">
        <v>72</v>
      </c>
      <c r="C19" s="20" t="s">
        <v>73</v>
      </c>
      <c r="D19" s="21" t="s">
        <v>74</v>
      </c>
    </row>
    <row r="20" spans="1:4" x14ac:dyDescent="0.25">
      <c r="A20" s="21" t="s">
        <v>12</v>
      </c>
      <c r="B20" s="19" t="s">
        <v>75</v>
      </c>
      <c r="C20" s="20" t="s">
        <v>47</v>
      </c>
      <c r="D20" s="21" t="s">
        <v>76</v>
      </c>
    </row>
    <row r="21" spans="1:4" ht="25.5" x14ac:dyDescent="0.25">
      <c r="A21" s="21" t="s">
        <v>12</v>
      </c>
      <c r="B21" s="19" t="s">
        <v>77</v>
      </c>
      <c r="C21" s="20" t="s">
        <v>47</v>
      </c>
      <c r="D21" s="21" t="s">
        <v>78</v>
      </c>
    </row>
    <row r="22" spans="1:4" x14ac:dyDescent="0.25">
      <c r="A22" s="21" t="s">
        <v>12</v>
      </c>
      <c r="B22" s="19" t="s">
        <v>79</v>
      </c>
      <c r="C22" s="20" t="s">
        <v>50</v>
      </c>
      <c r="D22" s="21" t="s">
        <v>80</v>
      </c>
    </row>
    <row r="23" spans="1:4" x14ac:dyDescent="0.25">
      <c r="A23" s="21" t="s">
        <v>12</v>
      </c>
      <c r="B23" s="19" t="s">
        <v>81</v>
      </c>
      <c r="C23" s="20" t="s">
        <v>53</v>
      </c>
      <c r="D23" s="21" t="s">
        <v>82</v>
      </c>
    </row>
    <row r="24" spans="1:4" x14ac:dyDescent="0.25">
      <c r="A24" s="18" t="s">
        <v>83</v>
      </c>
      <c r="B24" s="19" t="s">
        <v>84</v>
      </c>
      <c r="C24" s="20" t="s">
        <v>47</v>
      </c>
      <c r="D24" s="21" t="s">
        <v>85</v>
      </c>
    </row>
    <row r="25" spans="1:4" x14ac:dyDescent="0.25">
      <c r="A25" s="21" t="s">
        <v>83</v>
      </c>
      <c r="B25" s="19" t="s">
        <v>86</v>
      </c>
      <c r="C25" s="20" t="s">
        <v>50</v>
      </c>
      <c r="D25" s="21" t="s">
        <v>87</v>
      </c>
    </row>
    <row r="26" spans="1:4" x14ac:dyDescent="0.25">
      <c r="A26" s="21" t="s">
        <v>83</v>
      </c>
      <c r="B26" s="19" t="s">
        <v>88</v>
      </c>
      <c r="C26" s="20" t="s">
        <v>50</v>
      </c>
      <c r="D26" s="21" t="s">
        <v>89</v>
      </c>
    </row>
    <row r="27" spans="1:4" x14ac:dyDescent="0.25">
      <c r="A27" s="21" t="s">
        <v>83</v>
      </c>
      <c r="B27" s="19" t="s">
        <v>90</v>
      </c>
      <c r="C27" s="20" t="s">
        <v>53</v>
      </c>
      <c r="D27" s="21" t="s">
        <v>91</v>
      </c>
    </row>
    <row r="28" spans="1:4" x14ac:dyDescent="0.25">
      <c r="A28" s="18" t="s">
        <v>92</v>
      </c>
      <c r="B28" s="19" t="s">
        <v>93</v>
      </c>
      <c r="C28" s="20" t="s">
        <v>47</v>
      </c>
      <c r="D28" s="21" t="s">
        <v>94</v>
      </c>
    </row>
    <row r="29" spans="1:4" x14ac:dyDescent="0.25">
      <c r="A29" s="21" t="s">
        <v>92</v>
      </c>
      <c r="B29" s="19" t="s">
        <v>95</v>
      </c>
      <c r="C29" s="20" t="s">
        <v>47</v>
      </c>
      <c r="D29" s="21" t="s">
        <v>96</v>
      </c>
    </row>
    <row r="30" spans="1:4" x14ac:dyDescent="0.25">
      <c r="A30" s="21" t="s">
        <v>92</v>
      </c>
      <c r="B30" s="19" t="s">
        <v>97</v>
      </c>
      <c r="C30" s="20" t="s">
        <v>47</v>
      </c>
      <c r="D30" s="21" t="s">
        <v>98</v>
      </c>
    </row>
    <row r="31" spans="1:4" x14ac:dyDescent="0.25">
      <c r="A31" s="21" t="s">
        <v>92</v>
      </c>
      <c r="B31" s="19" t="s">
        <v>99</v>
      </c>
      <c r="C31" s="20" t="s">
        <v>50</v>
      </c>
      <c r="D31" s="21" t="s">
        <v>100</v>
      </c>
    </row>
    <row r="32" spans="1:4" x14ac:dyDescent="0.25">
      <c r="A32" s="21" t="s">
        <v>92</v>
      </c>
      <c r="B32" s="19" t="s">
        <v>101</v>
      </c>
      <c r="C32" s="20" t="s">
        <v>50</v>
      </c>
      <c r="D32" s="21" t="s">
        <v>102</v>
      </c>
    </row>
    <row r="33" spans="1:4" x14ac:dyDescent="0.25">
      <c r="A33" s="21" t="s">
        <v>92</v>
      </c>
      <c r="B33" s="19" t="s">
        <v>103</v>
      </c>
      <c r="C33" s="20" t="s">
        <v>53</v>
      </c>
      <c r="D33" s="21" t="s">
        <v>104</v>
      </c>
    </row>
    <row r="34" spans="1:4" x14ac:dyDescent="0.25">
      <c r="A34" s="21" t="s">
        <v>92</v>
      </c>
      <c r="B34" s="19" t="s">
        <v>105</v>
      </c>
      <c r="C34" s="20" t="s">
        <v>53</v>
      </c>
      <c r="D34" s="21" t="s">
        <v>106</v>
      </c>
    </row>
    <row r="35" spans="1:4" ht="25.5" x14ac:dyDescent="0.25">
      <c r="A35" s="18" t="s">
        <v>107</v>
      </c>
      <c r="B35" s="19" t="s">
        <v>108</v>
      </c>
      <c r="C35" s="20" t="s">
        <v>40</v>
      </c>
      <c r="D35" s="21" t="s">
        <v>109</v>
      </c>
    </row>
    <row r="36" spans="1:4" ht="25.5" x14ac:dyDescent="0.25">
      <c r="A36" s="21" t="s">
        <v>107</v>
      </c>
      <c r="B36" s="19" t="s">
        <v>110</v>
      </c>
      <c r="C36" s="20" t="s">
        <v>40</v>
      </c>
      <c r="D36" s="21" t="s">
        <v>111</v>
      </c>
    </row>
    <row r="37" spans="1:4" ht="25.5" x14ac:dyDescent="0.25">
      <c r="A37" s="21" t="s">
        <v>107</v>
      </c>
      <c r="B37" s="19" t="s">
        <v>112</v>
      </c>
      <c r="C37" s="20" t="s">
        <v>47</v>
      </c>
      <c r="D37" s="21" t="s">
        <v>113</v>
      </c>
    </row>
    <row r="38" spans="1:4" ht="25.5" x14ac:dyDescent="0.25">
      <c r="A38" s="21" t="s">
        <v>107</v>
      </c>
      <c r="B38" s="19" t="s">
        <v>114</v>
      </c>
      <c r="C38" s="20" t="s">
        <v>50</v>
      </c>
      <c r="D38" s="21" t="s">
        <v>115</v>
      </c>
    </row>
    <row r="39" spans="1:4" ht="25.5" x14ac:dyDescent="0.25">
      <c r="A39" s="21" t="s">
        <v>107</v>
      </c>
      <c r="B39" s="19" t="s">
        <v>116</v>
      </c>
      <c r="C39" s="20" t="s">
        <v>53</v>
      </c>
      <c r="D39" s="21" t="s">
        <v>117</v>
      </c>
    </row>
    <row r="40" spans="1:4" ht="25.5" x14ac:dyDescent="0.25">
      <c r="A40" s="21" t="s">
        <v>107</v>
      </c>
      <c r="B40" s="19" t="s">
        <v>118</v>
      </c>
      <c r="C40" s="20" t="s">
        <v>53</v>
      </c>
      <c r="D40" s="21" t="s">
        <v>119</v>
      </c>
    </row>
    <row r="41" spans="1:4" x14ac:dyDescent="0.25">
      <c r="A41" s="18" t="s">
        <v>120</v>
      </c>
      <c r="B41" s="19" t="s">
        <v>121</v>
      </c>
      <c r="C41" s="20" t="s">
        <v>40</v>
      </c>
      <c r="D41" s="21" t="s">
        <v>122</v>
      </c>
    </row>
    <row r="42" spans="1:4" x14ac:dyDescent="0.25">
      <c r="A42" s="21" t="s">
        <v>120</v>
      </c>
      <c r="B42" s="19" t="s">
        <v>123</v>
      </c>
      <c r="C42" s="20" t="s">
        <v>47</v>
      </c>
      <c r="D42" s="21" t="s">
        <v>124</v>
      </c>
    </row>
    <row r="43" spans="1:4" x14ac:dyDescent="0.25">
      <c r="A43" s="21" t="s">
        <v>120</v>
      </c>
      <c r="B43" s="19" t="s">
        <v>120</v>
      </c>
      <c r="C43" s="20" t="s">
        <v>50</v>
      </c>
      <c r="D43" s="21" t="s">
        <v>125</v>
      </c>
    </row>
    <row r="44" spans="1:4" x14ac:dyDescent="0.25">
      <c r="A44" s="21" t="s">
        <v>120</v>
      </c>
      <c r="B44" s="19" t="s">
        <v>126</v>
      </c>
      <c r="C44" s="20" t="s">
        <v>53</v>
      </c>
      <c r="D44" s="21" t="s">
        <v>127</v>
      </c>
    </row>
    <row r="45" spans="1:4" x14ac:dyDescent="0.25">
      <c r="A45" s="18" t="s">
        <v>128</v>
      </c>
      <c r="B45" s="19" t="s">
        <v>129</v>
      </c>
      <c r="C45" s="20" t="s">
        <v>50</v>
      </c>
      <c r="D45" s="21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showGridLines="0" workbookViewId="0">
      <pane ySplit="2" topLeftCell="A45" activePane="bottomLeft" state="frozen"/>
      <selection pane="bottomLeft" activeCell="B47" sqref="B47:D47"/>
    </sheetView>
  </sheetViews>
  <sheetFormatPr baseColWidth="10" defaultColWidth="9.140625" defaultRowHeight="15" x14ac:dyDescent="0.25"/>
  <cols>
    <col min="1" max="1" width="10" customWidth="1"/>
    <col min="2" max="2" width="58" customWidth="1"/>
    <col min="3" max="3" width="26" customWidth="1"/>
    <col min="4" max="4" width="30" customWidth="1"/>
    <col min="5" max="5" width="12" customWidth="1"/>
    <col min="6" max="6" width="16" customWidth="1"/>
    <col min="7" max="7" width="46" customWidth="1"/>
    <col min="8" max="8" width="26" customWidth="1"/>
  </cols>
  <sheetData>
    <row r="1" spans="1:8" ht="16.5" x14ac:dyDescent="0.25">
      <c r="A1" s="22" t="s">
        <v>131</v>
      </c>
    </row>
    <row r="2" spans="1:8" ht="30" customHeight="1" x14ac:dyDescent="0.25">
      <c r="A2" s="4" t="s">
        <v>132</v>
      </c>
      <c r="B2" s="4" t="s">
        <v>133</v>
      </c>
      <c r="C2" s="4" t="s">
        <v>134</v>
      </c>
      <c r="D2" s="4" t="s">
        <v>135</v>
      </c>
      <c r="E2" s="4" t="s">
        <v>136</v>
      </c>
      <c r="F2" s="4" t="s">
        <v>137</v>
      </c>
      <c r="G2" s="4" t="s">
        <v>138</v>
      </c>
      <c r="H2" s="4" t="s">
        <v>139</v>
      </c>
    </row>
    <row r="3" spans="1:8" ht="25.5" x14ac:dyDescent="0.25">
      <c r="A3" s="20">
        <v>1</v>
      </c>
      <c r="B3" s="21" t="s">
        <v>140</v>
      </c>
      <c r="C3" s="21" t="s">
        <v>13</v>
      </c>
      <c r="D3" s="23" t="s">
        <v>141</v>
      </c>
      <c r="E3" s="20" t="s">
        <v>141</v>
      </c>
      <c r="F3" s="24" t="s">
        <v>20</v>
      </c>
      <c r="G3" s="21" t="s">
        <v>142</v>
      </c>
      <c r="H3" s="21"/>
    </row>
    <row r="4" spans="1:8" ht="25.5" x14ac:dyDescent="0.25">
      <c r="A4" s="20">
        <v>1</v>
      </c>
      <c r="B4" s="21" t="s">
        <v>143</v>
      </c>
      <c r="C4" s="21" t="s">
        <v>144</v>
      </c>
      <c r="D4" s="23" t="s">
        <v>141</v>
      </c>
      <c r="E4" s="20" t="s">
        <v>141</v>
      </c>
      <c r="F4" s="24" t="s">
        <v>20</v>
      </c>
      <c r="G4" s="21" t="s">
        <v>145</v>
      </c>
      <c r="H4" s="21"/>
    </row>
    <row r="5" spans="1:8" x14ac:dyDescent="0.25">
      <c r="A5" s="20">
        <v>1</v>
      </c>
      <c r="B5" s="21" t="s">
        <v>146</v>
      </c>
      <c r="C5" s="21" t="s">
        <v>147</v>
      </c>
      <c r="D5" s="23" t="s">
        <v>141</v>
      </c>
      <c r="E5" s="20" t="s">
        <v>141</v>
      </c>
      <c r="F5" s="24" t="s">
        <v>20</v>
      </c>
      <c r="G5" s="21" t="s">
        <v>148</v>
      </c>
      <c r="H5" s="21"/>
    </row>
    <row r="6" spans="1:8" x14ac:dyDescent="0.25">
      <c r="A6" s="20">
        <v>1</v>
      </c>
      <c r="B6" s="21" t="s">
        <v>149</v>
      </c>
      <c r="C6" s="21" t="s">
        <v>150</v>
      </c>
      <c r="D6" s="19" t="s">
        <v>151</v>
      </c>
      <c r="E6" s="20" t="s">
        <v>40</v>
      </c>
      <c r="F6" s="25" t="s">
        <v>5</v>
      </c>
      <c r="G6" s="21"/>
      <c r="H6" s="21"/>
    </row>
    <row r="7" spans="1:8" ht="25.5" x14ac:dyDescent="0.25">
      <c r="A7" s="20">
        <v>1</v>
      </c>
      <c r="B7" s="21" t="s">
        <v>152</v>
      </c>
      <c r="C7" s="21" t="s">
        <v>153</v>
      </c>
      <c r="D7" s="23" t="s">
        <v>141</v>
      </c>
      <c r="E7" s="20" t="s">
        <v>141</v>
      </c>
      <c r="F7" s="24" t="s">
        <v>20</v>
      </c>
      <c r="G7" s="21" t="s">
        <v>154</v>
      </c>
      <c r="H7" s="21"/>
    </row>
    <row r="8" spans="1:8" x14ac:dyDescent="0.25">
      <c r="A8" s="20">
        <v>1</v>
      </c>
      <c r="B8" s="21" t="s">
        <v>155</v>
      </c>
      <c r="C8" s="21" t="s">
        <v>156</v>
      </c>
      <c r="D8" s="19" t="s">
        <v>70</v>
      </c>
      <c r="E8" s="20" t="s">
        <v>40</v>
      </c>
      <c r="F8" s="25" t="s">
        <v>5</v>
      </c>
      <c r="G8" s="21"/>
      <c r="H8" s="21"/>
    </row>
    <row r="9" spans="1:8" ht="25.5" x14ac:dyDescent="0.25">
      <c r="A9" s="20">
        <v>2</v>
      </c>
      <c r="B9" s="21" t="s">
        <v>157</v>
      </c>
      <c r="C9" s="21" t="s">
        <v>144</v>
      </c>
      <c r="D9" s="23" t="s">
        <v>141</v>
      </c>
      <c r="E9" s="20" t="s">
        <v>141</v>
      </c>
      <c r="F9" s="24" t="s">
        <v>20</v>
      </c>
      <c r="G9" s="21" t="s">
        <v>145</v>
      </c>
      <c r="H9" s="21"/>
    </row>
    <row r="10" spans="1:8" ht="25.5" x14ac:dyDescent="0.25">
      <c r="A10" s="20">
        <v>2</v>
      </c>
      <c r="B10" s="21" t="s">
        <v>158</v>
      </c>
      <c r="C10" s="21" t="s">
        <v>13</v>
      </c>
      <c r="D10" s="23" t="s">
        <v>141</v>
      </c>
      <c r="E10" s="20" t="s">
        <v>141</v>
      </c>
      <c r="F10" s="24" t="s">
        <v>20</v>
      </c>
      <c r="G10" s="21" t="s">
        <v>142</v>
      </c>
      <c r="H10" s="21"/>
    </row>
    <row r="11" spans="1:8" ht="25.5" x14ac:dyDescent="0.25">
      <c r="A11" s="20">
        <v>2</v>
      </c>
      <c r="B11" s="21" t="s">
        <v>159</v>
      </c>
      <c r="C11" s="21" t="s">
        <v>160</v>
      </c>
      <c r="D11" s="23" t="s">
        <v>141</v>
      </c>
      <c r="E11" s="20" t="s">
        <v>141</v>
      </c>
      <c r="F11" s="24" t="s">
        <v>20</v>
      </c>
      <c r="G11" s="21" t="s">
        <v>161</v>
      </c>
      <c r="H11" s="21"/>
    </row>
    <row r="12" spans="1:8" x14ac:dyDescent="0.25">
      <c r="A12" s="20">
        <v>2</v>
      </c>
      <c r="B12" s="21" t="s">
        <v>162</v>
      </c>
      <c r="C12" s="21" t="s">
        <v>150</v>
      </c>
      <c r="D12" s="23" t="s">
        <v>141</v>
      </c>
      <c r="E12" s="20" t="s">
        <v>141</v>
      </c>
      <c r="F12" s="24" t="s">
        <v>20</v>
      </c>
      <c r="G12" s="21"/>
      <c r="H12" s="21"/>
    </row>
    <row r="13" spans="1:8" x14ac:dyDescent="0.25">
      <c r="A13" s="20">
        <v>2</v>
      </c>
      <c r="B13" s="21" t="s">
        <v>163</v>
      </c>
      <c r="C13" s="21" t="s">
        <v>150</v>
      </c>
      <c r="D13" s="19" t="s">
        <v>46</v>
      </c>
      <c r="E13" s="20" t="s">
        <v>47</v>
      </c>
      <c r="F13" s="26" t="s">
        <v>6</v>
      </c>
      <c r="G13" s="21"/>
      <c r="H13" s="21"/>
    </row>
    <row r="14" spans="1:8" ht="25.5" x14ac:dyDescent="0.25">
      <c r="A14" s="20">
        <v>2</v>
      </c>
      <c r="B14" s="21" t="s">
        <v>164</v>
      </c>
      <c r="C14" s="21" t="s">
        <v>165</v>
      </c>
      <c r="D14" s="23" t="s">
        <v>141</v>
      </c>
      <c r="E14" s="20" t="s">
        <v>141</v>
      </c>
      <c r="F14" s="24" t="s">
        <v>20</v>
      </c>
      <c r="G14" s="21" t="s">
        <v>166</v>
      </c>
      <c r="H14" s="21"/>
    </row>
    <row r="15" spans="1:8" ht="25.5" x14ac:dyDescent="0.25">
      <c r="A15" s="20">
        <v>2</v>
      </c>
      <c r="B15" s="21" t="s">
        <v>167</v>
      </c>
      <c r="C15" s="21" t="s">
        <v>168</v>
      </c>
      <c r="D15" s="23" t="s">
        <v>141</v>
      </c>
      <c r="E15" s="20" t="s">
        <v>141</v>
      </c>
      <c r="F15" s="24" t="s">
        <v>20</v>
      </c>
      <c r="G15" s="21" t="s">
        <v>161</v>
      </c>
      <c r="H15" s="21"/>
    </row>
    <row r="16" spans="1:8" ht="25.5" x14ac:dyDescent="0.25">
      <c r="A16" s="20">
        <v>3</v>
      </c>
      <c r="B16" s="21" t="s">
        <v>169</v>
      </c>
      <c r="C16" s="21" t="s">
        <v>144</v>
      </c>
      <c r="D16" s="23" t="s">
        <v>141</v>
      </c>
      <c r="E16" s="20" t="s">
        <v>141</v>
      </c>
      <c r="F16" s="24" t="s">
        <v>20</v>
      </c>
      <c r="G16" s="21" t="s">
        <v>170</v>
      </c>
      <c r="H16" s="21"/>
    </row>
    <row r="17" spans="1:8" ht="25.5" x14ac:dyDescent="0.25">
      <c r="A17" s="20">
        <v>3</v>
      </c>
      <c r="B17" s="21" t="s">
        <v>171</v>
      </c>
      <c r="C17" s="21" t="s">
        <v>150</v>
      </c>
      <c r="D17" s="23" t="s">
        <v>141</v>
      </c>
      <c r="E17" s="20" t="s">
        <v>141</v>
      </c>
      <c r="F17" s="24" t="s">
        <v>20</v>
      </c>
      <c r="G17" s="21"/>
      <c r="H17" s="21"/>
    </row>
    <row r="18" spans="1:8" x14ac:dyDescent="0.25">
      <c r="A18" s="20">
        <v>3</v>
      </c>
      <c r="B18" s="21" t="s">
        <v>172</v>
      </c>
      <c r="C18" s="21" t="s">
        <v>150</v>
      </c>
      <c r="D18" s="23" t="s">
        <v>141</v>
      </c>
      <c r="E18" s="20" t="s">
        <v>141</v>
      </c>
      <c r="F18" s="24" t="s">
        <v>20</v>
      </c>
      <c r="G18" s="21"/>
      <c r="H18" s="21"/>
    </row>
    <row r="19" spans="1:8" x14ac:dyDescent="0.25">
      <c r="A19" s="20">
        <v>3</v>
      </c>
      <c r="B19" s="21" t="s">
        <v>173</v>
      </c>
      <c r="C19" s="21" t="s">
        <v>147</v>
      </c>
      <c r="D19" s="23" t="s">
        <v>141</v>
      </c>
      <c r="E19" s="20" t="s">
        <v>141</v>
      </c>
      <c r="F19" s="24" t="s">
        <v>20</v>
      </c>
      <c r="G19" s="21" t="s">
        <v>148</v>
      </c>
      <c r="H19" s="21"/>
    </row>
    <row r="20" spans="1:8" ht="25.5" x14ac:dyDescent="0.25">
      <c r="A20" s="20">
        <v>3</v>
      </c>
      <c r="B20" s="21" t="s">
        <v>174</v>
      </c>
      <c r="C20" s="21" t="s">
        <v>175</v>
      </c>
      <c r="D20" s="19" t="s">
        <v>72</v>
      </c>
      <c r="E20" s="20" t="s">
        <v>73</v>
      </c>
      <c r="F20" s="26" t="s">
        <v>6</v>
      </c>
      <c r="G20" s="21" t="s">
        <v>176</v>
      </c>
      <c r="H20" s="21"/>
    </row>
    <row r="21" spans="1:8" ht="25.5" x14ac:dyDescent="0.25">
      <c r="A21" s="20">
        <v>3</v>
      </c>
      <c r="B21" s="21" t="s">
        <v>177</v>
      </c>
      <c r="C21" s="21" t="s">
        <v>13</v>
      </c>
      <c r="D21" s="23" t="s">
        <v>141</v>
      </c>
      <c r="E21" s="20" t="s">
        <v>141</v>
      </c>
      <c r="F21" s="24" t="s">
        <v>20</v>
      </c>
      <c r="G21" s="21" t="s">
        <v>142</v>
      </c>
      <c r="H21" s="21"/>
    </row>
    <row r="22" spans="1:8" ht="25.5" x14ac:dyDescent="0.25">
      <c r="A22" s="20">
        <v>3</v>
      </c>
      <c r="B22" s="21" t="s">
        <v>178</v>
      </c>
      <c r="C22" s="21" t="s">
        <v>179</v>
      </c>
      <c r="D22" s="23" t="s">
        <v>141</v>
      </c>
      <c r="E22" s="20" t="s">
        <v>141</v>
      </c>
      <c r="F22" s="24" t="s">
        <v>20</v>
      </c>
      <c r="G22" s="21" t="s">
        <v>180</v>
      </c>
      <c r="H22" s="21"/>
    </row>
    <row r="23" spans="1:8" ht="25.5" x14ac:dyDescent="0.25">
      <c r="A23" s="20">
        <v>4</v>
      </c>
      <c r="B23" s="21" t="s">
        <v>181</v>
      </c>
      <c r="C23" s="21" t="s">
        <v>144</v>
      </c>
      <c r="D23" s="23" t="s">
        <v>141</v>
      </c>
      <c r="E23" s="20" t="s">
        <v>141</v>
      </c>
      <c r="F23" s="24" t="s">
        <v>20</v>
      </c>
      <c r="G23" s="21" t="s">
        <v>170</v>
      </c>
      <c r="H23" s="21"/>
    </row>
    <row r="24" spans="1:8" ht="25.5" x14ac:dyDescent="0.25">
      <c r="A24" s="20">
        <v>4</v>
      </c>
      <c r="B24" s="21" t="s">
        <v>182</v>
      </c>
      <c r="C24" s="21" t="s">
        <v>183</v>
      </c>
      <c r="D24" s="23" t="s">
        <v>141</v>
      </c>
      <c r="E24" s="20" t="s">
        <v>141</v>
      </c>
      <c r="F24" s="24" t="s">
        <v>20</v>
      </c>
      <c r="G24" s="21" t="s">
        <v>184</v>
      </c>
      <c r="H24" s="21"/>
    </row>
    <row r="25" spans="1:8" x14ac:dyDescent="0.25">
      <c r="A25" s="20">
        <v>4</v>
      </c>
      <c r="B25" s="21" t="s">
        <v>185</v>
      </c>
      <c r="C25" s="21" t="s">
        <v>147</v>
      </c>
      <c r="D25" s="23" t="s">
        <v>141</v>
      </c>
      <c r="E25" s="20" t="s">
        <v>141</v>
      </c>
      <c r="F25" s="24" t="s">
        <v>20</v>
      </c>
      <c r="G25" s="21" t="s">
        <v>148</v>
      </c>
      <c r="H25" s="21"/>
    </row>
    <row r="26" spans="1:8" x14ac:dyDescent="0.25">
      <c r="A26" s="20">
        <v>4</v>
      </c>
      <c r="B26" s="21" t="s">
        <v>186</v>
      </c>
      <c r="C26" s="21" t="s">
        <v>187</v>
      </c>
      <c r="D26" s="19" t="s">
        <v>58</v>
      </c>
      <c r="E26" s="20" t="s">
        <v>40</v>
      </c>
      <c r="F26" s="25" t="s">
        <v>5</v>
      </c>
      <c r="G26" s="21"/>
      <c r="H26" s="21"/>
    </row>
    <row r="27" spans="1:8" x14ac:dyDescent="0.25">
      <c r="A27" s="20">
        <v>4</v>
      </c>
      <c r="B27" s="21" t="s">
        <v>188</v>
      </c>
      <c r="C27" s="21" t="s">
        <v>189</v>
      </c>
      <c r="D27" s="19" t="s">
        <v>75</v>
      </c>
      <c r="E27" s="20" t="s">
        <v>47</v>
      </c>
      <c r="F27" s="25" t="s">
        <v>5</v>
      </c>
      <c r="G27" s="21"/>
      <c r="H27" s="21"/>
    </row>
    <row r="28" spans="1:8" ht="25.5" x14ac:dyDescent="0.25">
      <c r="A28" s="20">
        <v>4</v>
      </c>
      <c r="B28" s="21" t="s">
        <v>191</v>
      </c>
      <c r="C28" s="21" t="s">
        <v>165</v>
      </c>
      <c r="D28" s="23" t="s">
        <v>141</v>
      </c>
      <c r="E28" s="20" t="s">
        <v>141</v>
      </c>
      <c r="F28" s="24" t="s">
        <v>20</v>
      </c>
      <c r="G28" s="21" t="s">
        <v>166</v>
      </c>
      <c r="H28" s="21"/>
    </row>
    <row r="29" spans="1:8" ht="25.5" x14ac:dyDescent="0.25">
      <c r="A29" s="20">
        <v>4</v>
      </c>
      <c r="B29" s="21" t="s">
        <v>192</v>
      </c>
      <c r="C29" s="21" t="s">
        <v>179</v>
      </c>
      <c r="D29" s="23"/>
      <c r="E29" s="20" t="s">
        <v>141</v>
      </c>
      <c r="F29" s="24" t="s">
        <v>20</v>
      </c>
      <c r="G29" s="21" t="s">
        <v>180</v>
      </c>
      <c r="H29" s="21"/>
    </row>
    <row r="30" spans="1:8" x14ac:dyDescent="0.25">
      <c r="A30" s="20">
        <v>5</v>
      </c>
      <c r="B30" s="21" t="s">
        <v>193</v>
      </c>
      <c r="C30" s="21" t="s">
        <v>128</v>
      </c>
      <c r="D30" s="23"/>
      <c r="E30" s="20" t="s">
        <v>141</v>
      </c>
      <c r="F30" s="24" t="s">
        <v>20</v>
      </c>
      <c r="G30" s="21"/>
      <c r="H30" s="21"/>
    </row>
    <row r="31" spans="1:8" x14ac:dyDescent="0.25">
      <c r="A31" s="20">
        <v>5</v>
      </c>
      <c r="B31" s="21" t="s">
        <v>194</v>
      </c>
      <c r="C31" s="21" t="s">
        <v>195</v>
      </c>
      <c r="D31" s="23"/>
      <c r="E31" s="20" t="s">
        <v>141</v>
      </c>
      <c r="F31" s="24" t="s">
        <v>20</v>
      </c>
      <c r="G31" s="21"/>
      <c r="H31" s="21"/>
    </row>
    <row r="32" spans="1:8" ht="25.5" x14ac:dyDescent="0.25">
      <c r="A32" s="20">
        <v>5</v>
      </c>
      <c r="B32" s="21" t="s">
        <v>196</v>
      </c>
      <c r="C32" s="21" t="s">
        <v>160</v>
      </c>
      <c r="D32" s="23" t="s">
        <v>141</v>
      </c>
      <c r="E32" s="20" t="s">
        <v>141</v>
      </c>
      <c r="F32" s="24" t="s">
        <v>20</v>
      </c>
      <c r="G32" s="21" t="s">
        <v>161</v>
      </c>
      <c r="H32" s="21"/>
    </row>
    <row r="33" spans="1:8" x14ac:dyDescent="0.25">
      <c r="A33" s="20">
        <v>5</v>
      </c>
      <c r="B33" s="21" t="s">
        <v>197</v>
      </c>
      <c r="C33" s="21" t="s">
        <v>187</v>
      </c>
      <c r="D33" s="19" t="s">
        <v>66</v>
      </c>
      <c r="E33" s="20" t="s">
        <v>50</v>
      </c>
      <c r="F33" s="25" t="s">
        <v>5</v>
      </c>
      <c r="G33" s="21"/>
      <c r="H33" s="21"/>
    </row>
    <row r="34" spans="1:8" x14ac:dyDescent="0.25">
      <c r="A34" s="20">
        <v>5</v>
      </c>
      <c r="B34" s="21" t="s">
        <v>198</v>
      </c>
      <c r="C34" s="21" t="s">
        <v>199</v>
      </c>
      <c r="D34" s="23" t="s">
        <v>141</v>
      </c>
      <c r="E34" s="20" t="s">
        <v>141</v>
      </c>
      <c r="F34" s="24" t="s">
        <v>20</v>
      </c>
      <c r="G34" s="21" t="s">
        <v>200</v>
      </c>
      <c r="H34" s="21"/>
    </row>
    <row r="35" spans="1:8" x14ac:dyDescent="0.25">
      <c r="A35" s="20">
        <v>5</v>
      </c>
      <c r="B35" s="21" t="s">
        <v>201</v>
      </c>
      <c r="C35" s="21" t="s">
        <v>202</v>
      </c>
      <c r="D35" s="19" t="s">
        <v>120</v>
      </c>
      <c r="E35" s="20" t="s">
        <v>50</v>
      </c>
      <c r="F35" s="26" t="s">
        <v>6</v>
      </c>
      <c r="G35" s="21" t="s">
        <v>203</v>
      </c>
      <c r="H35" s="21"/>
    </row>
    <row r="36" spans="1:8" ht="25.5" x14ac:dyDescent="0.25">
      <c r="A36" s="20">
        <v>5</v>
      </c>
      <c r="B36" s="21" t="s">
        <v>204</v>
      </c>
      <c r="C36" s="21" t="s">
        <v>179</v>
      </c>
      <c r="D36" s="23" t="s">
        <v>141</v>
      </c>
      <c r="E36" s="20" t="s">
        <v>141</v>
      </c>
      <c r="F36" s="24" t="s">
        <v>20</v>
      </c>
      <c r="G36" s="21" t="s">
        <v>180</v>
      </c>
      <c r="H36" s="21"/>
    </row>
    <row r="37" spans="1:8" x14ac:dyDescent="0.25">
      <c r="A37" s="20">
        <v>6</v>
      </c>
      <c r="B37" s="21" t="s">
        <v>205</v>
      </c>
      <c r="C37" s="21" t="s">
        <v>128</v>
      </c>
      <c r="D37" s="19" t="s">
        <v>129</v>
      </c>
      <c r="E37" s="20" t="s">
        <v>50</v>
      </c>
      <c r="F37" s="25" t="s">
        <v>5</v>
      </c>
      <c r="G37" s="21"/>
      <c r="H37" s="21"/>
    </row>
    <row r="38" spans="1:8" x14ac:dyDescent="0.25">
      <c r="A38" s="20">
        <v>6</v>
      </c>
      <c r="B38" s="21" t="s">
        <v>206</v>
      </c>
      <c r="C38" s="21" t="s">
        <v>207</v>
      </c>
      <c r="D38" s="23" t="s">
        <v>141</v>
      </c>
      <c r="E38" s="20" t="s">
        <v>141</v>
      </c>
      <c r="F38" s="24" t="s">
        <v>20</v>
      </c>
      <c r="G38" s="21"/>
      <c r="H38" s="21"/>
    </row>
    <row r="39" spans="1:8" x14ac:dyDescent="0.25">
      <c r="A39" s="20">
        <v>6</v>
      </c>
      <c r="B39" s="21" t="s">
        <v>209</v>
      </c>
      <c r="C39" s="21" t="s">
        <v>210</v>
      </c>
      <c r="D39" s="23" t="s">
        <v>141</v>
      </c>
      <c r="E39" s="20" t="s">
        <v>141</v>
      </c>
      <c r="F39" s="24" t="s">
        <v>20</v>
      </c>
      <c r="G39" s="21" t="s">
        <v>211</v>
      </c>
      <c r="H39" s="21"/>
    </row>
    <row r="40" spans="1:8" x14ac:dyDescent="0.25">
      <c r="A40" s="20">
        <v>6</v>
      </c>
      <c r="B40" s="21" t="s">
        <v>212</v>
      </c>
      <c r="C40" s="21" t="s">
        <v>213</v>
      </c>
      <c r="D40" s="23" t="s">
        <v>141</v>
      </c>
      <c r="E40" s="20" t="s">
        <v>141</v>
      </c>
      <c r="F40" s="24" t="s">
        <v>20</v>
      </c>
      <c r="G40" s="21"/>
      <c r="H40" s="21"/>
    </row>
    <row r="41" spans="1:8" x14ac:dyDescent="0.25">
      <c r="A41" s="20">
        <v>6</v>
      </c>
      <c r="B41" s="21" t="s">
        <v>214</v>
      </c>
      <c r="C41" s="21" t="s">
        <v>175</v>
      </c>
      <c r="G41" s="21"/>
      <c r="H41" s="21"/>
    </row>
    <row r="42" spans="1:8" ht="25.5" x14ac:dyDescent="0.25">
      <c r="A42" s="20">
        <v>6</v>
      </c>
      <c r="B42" s="21" t="s">
        <v>215</v>
      </c>
      <c r="C42" s="21" t="s">
        <v>179</v>
      </c>
      <c r="D42" s="23" t="s">
        <v>141</v>
      </c>
      <c r="E42" s="20" t="s">
        <v>141</v>
      </c>
      <c r="F42" s="24" t="s">
        <v>20</v>
      </c>
      <c r="G42" s="21" t="s">
        <v>180</v>
      </c>
      <c r="H42" s="21"/>
    </row>
    <row r="43" spans="1:8" ht="25.5" x14ac:dyDescent="0.25">
      <c r="A43" s="20">
        <v>7</v>
      </c>
      <c r="B43" s="21" t="s">
        <v>216</v>
      </c>
      <c r="C43" s="21" t="s">
        <v>217</v>
      </c>
      <c r="D43" s="23" t="s">
        <v>141</v>
      </c>
      <c r="E43" s="20" t="s">
        <v>141</v>
      </c>
      <c r="F43" s="24" t="s">
        <v>20</v>
      </c>
      <c r="G43" s="21" t="s">
        <v>218</v>
      </c>
      <c r="H43" s="21"/>
    </row>
    <row r="44" spans="1:8" ht="25.5" x14ac:dyDescent="0.25">
      <c r="A44" s="20">
        <v>7</v>
      </c>
      <c r="B44" s="21" t="s">
        <v>219</v>
      </c>
      <c r="C44" s="21" t="s">
        <v>220</v>
      </c>
      <c r="D44" s="23" t="s">
        <v>141</v>
      </c>
      <c r="E44" s="20" t="s">
        <v>141</v>
      </c>
      <c r="F44" s="24" t="s">
        <v>20</v>
      </c>
      <c r="G44" s="21" t="s">
        <v>221</v>
      </c>
      <c r="H44" s="21"/>
    </row>
    <row r="45" spans="1:8" x14ac:dyDescent="0.25">
      <c r="A45" s="20">
        <v>7</v>
      </c>
      <c r="B45" s="21" t="s">
        <v>222</v>
      </c>
      <c r="C45" s="21" t="s">
        <v>223</v>
      </c>
      <c r="D45" s="23" t="s">
        <v>141</v>
      </c>
      <c r="E45" s="20" t="s">
        <v>141</v>
      </c>
      <c r="F45" s="24" t="s">
        <v>20</v>
      </c>
      <c r="G45" s="21" t="s">
        <v>224</v>
      </c>
      <c r="H45" s="21"/>
    </row>
    <row r="46" spans="1:8" x14ac:dyDescent="0.25">
      <c r="A46" s="20">
        <v>7</v>
      </c>
      <c r="B46" s="21" t="s">
        <v>225</v>
      </c>
      <c r="C46" s="21" t="s">
        <v>226</v>
      </c>
      <c r="D46" s="23" t="s">
        <v>141</v>
      </c>
      <c r="E46" s="20" t="s">
        <v>141</v>
      </c>
      <c r="F46" s="24" t="s">
        <v>20</v>
      </c>
      <c r="G46" s="21" t="s">
        <v>227</v>
      </c>
      <c r="H46" s="21"/>
    </row>
    <row r="47" spans="1:8" ht="25.5" x14ac:dyDescent="0.25">
      <c r="A47" s="20">
        <v>7</v>
      </c>
      <c r="B47" s="21" t="s">
        <v>228</v>
      </c>
      <c r="C47" s="21" t="s">
        <v>229</v>
      </c>
      <c r="D47" s="19" t="s">
        <v>88</v>
      </c>
      <c r="E47" s="20" t="s">
        <v>50</v>
      </c>
      <c r="F47" s="26" t="s">
        <v>6</v>
      </c>
      <c r="G47" s="21" t="s">
        <v>230</v>
      </c>
      <c r="H47" s="21"/>
    </row>
    <row r="48" spans="1:8" ht="25.5" x14ac:dyDescent="0.25">
      <c r="A48" s="20">
        <v>7</v>
      </c>
      <c r="B48" s="21" t="s">
        <v>231</v>
      </c>
      <c r="C48" s="21" t="s">
        <v>160</v>
      </c>
      <c r="D48" s="23" t="s">
        <v>141</v>
      </c>
      <c r="E48" s="20" t="s">
        <v>141</v>
      </c>
      <c r="F48" s="24" t="s">
        <v>20</v>
      </c>
      <c r="G48" s="21" t="s">
        <v>161</v>
      </c>
      <c r="H48" s="21"/>
    </row>
    <row r="49" spans="1:8" x14ac:dyDescent="0.25">
      <c r="A49" s="20">
        <v>8</v>
      </c>
      <c r="B49" s="21" t="s">
        <v>232</v>
      </c>
      <c r="C49" s="21" t="s">
        <v>83</v>
      </c>
      <c r="D49" s="23" t="s">
        <v>141</v>
      </c>
      <c r="E49" s="20" t="s">
        <v>141</v>
      </c>
      <c r="F49" s="24" t="s">
        <v>20</v>
      </c>
      <c r="G49" s="21"/>
      <c r="H49" s="21"/>
    </row>
    <row r="50" spans="1:8" ht="25.5" x14ac:dyDescent="0.25">
      <c r="A50" s="20">
        <v>8</v>
      </c>
      <c r="B50" s="21" t="s">
        <v>234</v>
      </c>
      <c r="C50" s="21" t="s">
        <v>235</v>
      </c>
      <c r="D50" s="23" t="s">
        <v>141</v>
      </c>
      <c r="E50" s="20" t="s">
        <v>141</v>
      </c>
      <c r="F50" s="24" t="s">
        <v>20</v>
      </c>
      <c r="G50" s="21" t="s">
        <v>236</v>
      </c>
      <c r="H50" s="21"/>
    </row>
    <row r="51" spans="1:8" ht="25.5" x14ac:dyDescent="0.25">
      <c r="A51" s="20">
        <v>8</v>
      </c>
      <c r="B51" s="21" t="s">
        <v>237</v>
      </c>
      <c r="C51" s="21" t="s">
        <v>229</v>
      </c>
      <c r="D51" s="19" t="s">
        <v>84</v>
      </c>
      <c r="E51" s="20" t="s">
        <v>47</v>
      </c>
      <c r="F51" s="26" t="s">
        <v>6</v>
      </c>
      <c r="G51" s="21" t="s">
        <v>230</v>
      </c>
      <c r="H51" s="21"/>
    </row>
    <row r="52" spans="1:8" x14ac:dyDescent="0.25">
      <c r="A52" s="20">
        <v>8</v>
      </c>
      <c r="B52" s="21" t="s">
        <v>238</v>
      </c>
      <c r="C52" s="21" t="s">
        <v>199</v>
      </c>
      <c r="D52" s="19" t="s">
        <v>52</v>
      </c>
      <c r="E52" s="20" t="s">
        <v>53</v>
      </c>
      <c r="F52" s="25" t="s">
        <v>5</v>
      </c>
      <c r="G52" s="21"/>
      <c r="H52" s="21"/>
    </row>
    <row r="53" spans="1:8" ht="25.5" x14ac:dyDescent="0.25">
      <c r="A53" s="20">
        <v>8</v>
      </c>
      <c r="B53" s="21" t="s">
        <v>239</v>
      </c>
      <c r="C53" s="21" t="s">
        <v>240</v>
      </c>
      <c r="D53" s="23" t="s">
        <v>141</v>
      </c>
      <c r="E53" s="20" t="s">
        <v>141</v>
      </c>
      <c r="F53" s="24" t="s">
        <v>20</v>
      </c>
      <c r="G53" s="21" t="s">
        <v>241</v>
      </c>
      <c r="H53" s="21"/>
    </row>
    <row r="54" spans="1:8" ht="25.5" x14ac:dyDescent="0.25">
      <c r="A54" s="20">
        <v>8</v>
      </c>
      <c r="B54" s="21" t="s">
        <v>242</v>
      </c>
      <c r="C54" s="21" t="s">
        <v>243</v>
      </c>
      <c r="D54" s="23" t="s">
        <v>141</v>
      </c>
      <c r="E54" s="20" t="s">
        <v>141</v>
      </c>
      <c r="F54" s="24" t="s">
        <v>20</v>
      </c>
      <c r="G54" s="21" t="s">
        <v>244</v>
      </c>
      <c r="H54" s="21"/>
    </row>
    <row r="55" spans="1:8" x14ac:dyDescent="0.25">
      <c r="A55" s="20">
        <v>9</v>
      </c>
      <c r="B55" s="21" t="s">
        <v>245</v>
      </c>
      <c r="C55" s="21" t="s">
        <v>246</v>
      </c>
      <c r="D55" s="23" t="s">
        <v>141</v>
      </c>
      <c r="E55" s="20" t="s">
        <v>141</v>
      </c>
      <c r="F55" s="24" t="s">
        <v>20</v>
      </c>
      <c r="G55" s="21"/>
      <c r="H55" s="21"/>
    </row>
    <row r="56" spans="1:8" x14ac:dyDescent="0.25">
      <c r="A56" s="20">
        <v>9</v>
      </c>
      <c r="B56" s="21" t="s">
        <v>247</v>
      </c>
      <c r="C56" s="21" t="s">
        <v>210</v>
      </c>
      <c r="D56" s="19" t="s">
        <v>49</v>
      </c>
      <c r="E56" s="20" t="s">
        <v>50</v>
      </c>
      <c r="F56" s="26" t="s">
        <v>6</v>
      </c>
      <c r="G56" s="21" t="s">
        <v>211</v>
      </c>
      <c r="H56" s="21"/>
    </row>
    <row r="57" spans="1:8" ht="25.5" x14ac:dyDescent="0.25">
      <c r="A57" s="20">
        <v>9</v>
      </c>
      <c r="B57" s="21" t="s">
        <v>248</v>
      </c>
      <c r="C57" s="21" t="s">
        <v>249</v>
      </c>
      <c r="D57" s="23" t="s">
        <v>141</v>
      </c>
      <c r="E57" s="20" t="s">
        <v>141</v>
      </c>
      <c r="F57" s="24" t="s">
        <v>20</v>
      </c>
      <c r="G57" s="21" t="s">
        <v>250</v>
      </c>
      <c r="H57" s="21"/>
    </row>
    <row r="58" spans="1:8" ht="25.5" x14ac:dyDescent="0.25">
      <c r="A58" s="20">
        <v>9</v>
      </c>
      <c r="B58" s="21" t="s">
        <v>251</v>
      </c>
      <c r="C58" s="21" t="s">
        <v>243</v>
      </c>
      <c r="D58" s="23" t="s">
        <v>141</v>
      </c>
      <c r="E58" s="20" t="s">
        <v>141</v>
      </c>
      <c r="F58" s="24" t="s">
        <v>20</v>
      </c>
      <c r="G58" s="21" t="s">
        <v>244</v>
      </c>
      <c r="H58" s="21"/>
    </row>
    <row r="59" spans="1:8" ht="25.5" x14ac:dyDescent="0.25">
      <c r="A59" s="20">
        <v>9</v>
      </c>
      <c r="B59" s="21" t="s">
        <v>252</v>
      </c>
      <c r="C59" s="21" t="s">
        <v>253</v>
      </c>
      <c r="D59" s="23" t="s">
        <v>141</v>
      </c>
      <c r="E59" s="20" t="s">
        <v>141</v>
      </c>
      <c r="F59" s="24" t="s">
        <v>20</v>
      </c>
      <c r="G59" s="21" t="s">
        <v>254</v>
      </c>
      <c r="H59" s="21"/>
    </row>
    <row r="60" spans="1:8" ht="25.5" x14ac:dyDescent="0.25">
      <c r="A60" s="20">
        <v>9</v>
      </c>
      <c r="B60" s="21" t="s">
        <v>255</v>
      </c>
      <c r="C60" s="21" t="s">
        <v>243</v>
      </c>
      <c r="D60" s="23" t="s">
        <v>141</v>
      </c>
      <c r="E60" s="20" t="s">
        <v>141</v>
      </c>
      <c r="F60" s="24" t="s">
        <v>20</v>
      </c>
      <c r="G60" s="21" t="s">
        <v>244</v>
      </c>
      <c r="H60" s="21"/>
    </row>
    <row r="61" spans="1:8" x14ac:dyDescent="0.25">
      <c r="A61" s="20">
        <v>10</v>
      </c>
      <c r="B61" s="21" t="s">
        <v>256</v>
      </c>
      <c r="C61" s="21" t="s">
        <v>257</v>
      </c>
      <c r="D61" s="23" t="s">
        <v>141</v>
      </c>
      <c r="E61" s="20" t="s">
        <v>141</v>
      </c>
      <c r="F61" s="24" t="s">
        <v>20</v>
      </c>
      <c r="G61" s="21" t="s">
        <v>258</v>
      </c>
      <c r="H61" s="21"/>
    </row>
    <row r="62" spans="1:8" ht="25.5" x14ac:dyDescent="0.25">
      <c r="A62" s="20">
        <v>10</v>
      </c>
      <c r="B62" s="21" t="s">
        <v>259</v>
      </c>
      <c r="C62" s="21" t="s">
        <v>243</v>
      </c>
      <c r="D62" s="23" t="s">
        <v>141</v>
      </c>
      <c r="E62" s="20" t="s">
        <v>141</v>
      </c>
      <c r="F62" s="24" t="s">
        <v>20</v>
      </c>
      <c r="G62" s="21" t="s">
        <v>244</v>
      </c>
      <c r="H62" s="21"/>
    </row>
    <row r="63" spans="1:8" ht="25.5" x14ac:dyDescent="0.25">
      <c r="A63" s="20">
        <v>10</v>
      </c>
      <c r="B63" s="21" t="s">
        <v>260</v>
      </c>
      <c r="C63" s="21" t="s">
        <v>243</v>
      </c>
      <c r="D63" s="23" t="s">
        <v>141</v>
      </c>
      <c r="E63" s="20" t="s">
        <v>141</v>
      </c>
      <c r="F63" s="24" t="s">
        <v>20</v>
      </c>
      <c r="G63" s="21" t="s">
        <v>244</v>
      </c>
      <c r="H63" s="2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5"/>
  <sheetViews>
    <sheetView showGridLines="0" workbookViewId="0">
      <pane ySplit="2" topLeftCell="A48" activePane="bottomLeft" state="frozen"/>
      <selection pane="bottomLeft" activeCell="D52" sqref="B52:D52"/>
    </sheetView>
  </sheetViews>
  <sheetFormatPr baseColWidth="10" defaultColWidth="9.140625" defaultRowHeight="15" x14ac:dyDescent="0.25"/>
  <cols>
    <col min="1" max="1" width="10" customWidth="1"/>
    <col min="2" max="2" width="58" customWidth="1"/>
    <col min="3" max="3" width="26" customWidth="1"/>
    <col min="4" max="4" width="30" customWidth="1"/>
    <col min="5" max="5" width="12" customWidth="1"/>
    <col min="6" max="6" width="16" customWidth="1"/>
    <col min="7" max="7" width="46" customWidth="1"/>
    <col min="8" max="8" width="26" customWidth="1"/>
  </cols>
  <sheetData>
    <row r="1" spans="1:8" ht="16.5" x14ac:dyDescent="0.25">
      <c r="A1" s="22" t="s">
        <v>261</v>
      </c>
    </row>
    <row r="2" spans="1:8" ht="30" customHeight="1" x14ac:dyDescent="0.25">
      <c r="A2" s="4" t="s">
        <v>132</v>
      </c>
      <c r="B2" s="4" t="s">
        <v>133</v>
      </c>
      <c r="C2" s="4" t="s">
        <v>134</v>
      </c>
      <c r="D2" s="4" t="s">
        <v>135</v>
      </c>
      <c r="E2" s="4" t="s">
        <v>136</v>
      </c>
      <c r="F2" s="4" t="s">
        <v>137</v>
      </c>
      <c r="G2" s="4" t="s">
        <v>138</v>
      </c>
      <c r="H2" s="4" t="s">
        <v>139</v>
      </c>
    </row>
    <row r="3" spans="1:8" ht="25.5" x14ac:dyDescent="0.25">
      <c r="A3" s="20">
        <v>1</v>
      </c>
      <c r="B3" s="21" t="s">
        <v>143</v>
      </c>
      <c r="C3" s="21" t="s">
        <v>144</v>
      </c>
      <c r="D3" s="23" t="s">
        <v>141</v>
      </c>
      <c r="E3" s="20" t="s">
        <v>141</v>
      </c>
      <c r="F3" s="24" t="s">
        <v>20</v>
      </c>
      <c r="G3" s="21" t="s">
        <v>145</v>
      </c>
      <c r="H3" s="21"/>
    </row>
    <row r="4" spans="1:8" x14ac:dyDescent="0.25">
      <c r="A4" s="20">
        <v>1</v>
      </c>
      <c r="B4" s="21" t="s">
        <v>262</v>
      </c>
      <c r="C4" s="21" t="s">
        <v>156</v>
      </c>
      <c r="D4" s="23" t="s">
        <v>141</v>
      </c>
      <c r="E4" s="20" t="s">
        <v>141</v>
      </c>
      <c r="F4" s="24" t="s">
        <v>20</v>
      </c>
      <c r="G4" s="21"/>
      <c r="H4" s="21"/>
    </row>
    <row r="5" spans="1:8" x14ac:dyDescent="0.25">
      <c r="A5" s="20">
        <v>1</v>
      </c>
      <c r="B5" s="21" t="s">
        <v>263</v>
      </c>
      <c r="C5" s="21" t="s">
        <v>156</v>
      </c>
      <c r="D5" s="19" t="s">
        <v>70</v>
      </c>
      <c r="E5" s="20" t="s">
        <v>40</v>
      </c>
      <c r="F5" s="25" t="s">
        <v>5</v>
      </c>
      <c r="G5" s="21"/>
      <c r="H5" s="21"/>
    </row>
    <row r="6" spans="1:8" ht="25.5" x14ac:dyDescent="0.25">
      <c r="A6" s="20">
        <v>1</v>
      </c>
      <c r="B6" s="21" t="s">
        <v>264</v>
      </c>
      <c r="C6" s="21" t="s">
        <v>153</v>
      </c>
      <c r="D6" s="23" t="s">
        <v>141</v>
      </c>
      <c r="E6" s="20" t="s">
        <v>141</v>
      </c>
      <c r="F6" s="24" t="s">
        <v>20</v>
      </c>
      <c r="G6" s="21" t="s">
        <v>154</v>
      </c>
      <c r="H6" s="21"/>
    </row>
    <row r="7" spans="1:8" x14ac:dyDescent="0.25">
      <c r="A7" s="20">
        <v>1</v>
      </c>
      <c r="B7" s="21" t="s">
        <v>265</v>
      </c>
      <c r="C7" s="21" t="s">
        <v>147</v>
      </c>
      <c r="D7" s="23" t="s">
        <v>141</v>
      </c>
      <c r="E7" s="20" t="s">
        <v>141</v>
      </c>
      <c r="F7" s="24" t="s">
        <v>20</v>
      </c>
      <c r="G7" s="21" t="s">
        <v>148</v>
      </c>
      <c r="H7" s="21"/>
    </row>
    <row r="8" spans="1:8" ht="25.5" x14ac:dyDescent="0.25">
      <c r="A8" s="20">
        <v>1</v>
      </c>
      <c r="B8" s="21" t="s">
        <v>266</v>
      </c>
      <c r="C8" s="21" t="s">
        <v>168</v>
      </c>
      <c r="D8" s="23" t="s">
        <v>141</v>
      </c>
      <c r="E8" s="20" t="s">
        <v>141</v>
      </c>
      <c r="F8" s="24" t="s">
        <v>20</v>
      </c>
      <c r="G8" s="21" t="s">
        <v>161</v>
      </c>
      <c r="H8" s="21"/>
    </row>
    <row r="9" spans="1:8" ht="25.5" x14ac:dyDescent="0.25">
      <c r="A9" s="20">
        <v>2</v>
      </c>
      <c r="B9" s="21" t="s">
        <v>267</v>
      </c>
      <c r="C9" s="21" t="s">
        <v>144</v>
      </c>
      <c r="D9" s="23" t="s">
        <v>141</v>
      </c>
      <c r="E9" s="20" t="s">
        <v>141</v>
      </c>
      <c r="F9" s="24" t="s">
        <v>20</v>
      </c>
      <c r="G9" s="21" t="s">
        <v>145</v>
      </c>
      <c r="H9" s="21"/>
    </row>
    <row r="10" spans="1:8" ht="25.5" x14ac:dyDescent="0.25">
      <c r="A10" s="20">
        <v>2</v>
      </c>
      <c r="B10" s="21" t="s">
        <v>174</v>
      </c>
      <c r="C10" s="21" t="s">
        <v>175</v>
      </c>
      <c r="D10" s="19" t="s">
        <v>72</v>
      </c>
      <c r="E10" s="20" t="s">
        <v>73</v>
      </c>
      <c r="F10" s="26" t="s">
        <v>6</v>
      </c>
      <c r="G10" s="21" t="s">
        <v>176</v>
      </c>
      <c r="H10" s="21"/>
    </row>
    <row r="11" spans="1:8" x14ac:dyDescent="0.25">
      <c r="A11" s="20">
        <v>2</v>
      </c>
      <c r="B11" s="21" t="s">
        <v>268</v>
      </c>
      <c r="C11" s="21" t="s">
        <v>156</v>
      </c>
      <c r="D11" s="23" t="s">
        <v>141</v>
      </c>
      <c r="E11" s="20" t="s">
        <v>141</v>
      </c>
      <c r="F11" s="24" t="s">
        <v>20</v>
      </c>
      <c r="G11" s="21"/>
      <c r="H11" s="21"/>
    </row>
    <row r="12" spans="1:8" ht="25.5" x14ac:dyDescent="0.25">
      <c r="A12" s="20">
        <v>2</v>
      </c>
      <c r="B12" s="21" t="s">
        <v>269</v>
      </c>
      <c r="C12" s="21" t="s">
        <v>165</v>
      </c>
      <c r="D12" s="23" t="s">
        <v>141</v>
      </c>
      <c r="E12" s="20" t="s">
        <v>141</v>
      </c>
      <c r="F12" s="24" t="s">
        <v>20</v>
      </c>
      <c r="G12" s="21" t="s">
        <v>166</v>
      </c>
      <c r="H12" s="21"/>
    </row>
    <row r="13" spans="1:8" x14ac:dyDescent="0.25">
      <c r="A13" s="20">
        <v>2</v>
      </c>
      <c r="B13" s="21" t="s">
        <v>270</v>
      </c>
      <c r="C13" s="21" t="s">
        <v>147</v>
      </c>
      <c r="D13" s="23" t="s">
        <v>141</v>
      </c>
      <c r="E13" s="20" t="s">
        <v>141</v>
      </c>
      <c r="F13" s="24" t="s">
        <v>20</v>
      </c>
      <c r="G13" s="21" t="s">
        <v>148</v>
      </c>
      <c r="H13" s="21"/>
    </row>
    <row r="14" spans="1:8" ht="25.5" x14ac:dyDescent="0.25">
      <c r="A14" s="20">
        <v>2</v>
      </c>
      <c r="B14" s="21" t="s">
        <v>140</v>
      </c>
      <c r="C14" s="21" t="s">
        <v>13</v>
      </c>
      <c r="D14" s="23" t="s">
        <v>141</v>
      </c>
      <c r="E14" s="20" t="s">
        <v>141</v>
      </c>
      <c r="F14" s="24" t="s">
        <v>20</v>
      </c>
      <c r="G14" s="21" t="s">
        <v>142</v>
      </c>
      <c r="H14" s="21"/>
    </row>
    <row r="15" spans="1:8" ht="25.5" x14ac:dyDescent="0.25">
      <c r="A15" s="20">
        <v>3</v>
      </c>
      <c r="B15" s="21" t="s">
        <v>169</v>
      </c>
      <c r="C15" s="21" t="s">
        <v>144</v>
      </c>
      <c r="D15" s="23" t="s">
        <v>141</v>
      </c>
      <c r="E15" s="20" t="s">
        <v>141</v>
      </c>
      <c r="F15" s="24" t="s">
        <v>20</v>
      </c>
      <c r="G15" s="21" t="s">
        <v>170</v>
      </c>
      <c r="H15" s="21"/>
    </row>
    <row r="16" spans="1:8" x14ac:dyDescent="0.25">
      <c r="A16" s="20">
        <v>3</v>
      </c>
      <c r="B16" s="21" t="s">
        <v>271</v>
      </c>
      <c r="C16" s="21" t="s">
        <v>150</v>
      </c>
      <c r="D16" s="19" t="s">
        <v>151</v>
      </c>
      <c r="E16" s="20" t="s">
        <v>40</v>
      </c>
      <c r="F16" s="25" t="s">
        <v>5</v>
      </c>
      <c r="G16" s="21"/>
      <c r="H16" s="21"/>
    </row>
    <row r="17" spans="1:8" ht="25.5" x14ac:dyDescent="0.25">
      <c r="A17" s="20">
        <v>3</v>
      </c>
      <c r="B17" s="21" t="s">
        <v>272</v>
      </c>
      <c r="C17" s="21" t="s">
        <v>156</v>
      </c>
      <c r="D17" s="23" t="s">
        <v>141</v>
      </c>
      <c r="E17" s="20" t="s">
        <v>141</v>
      </c>
      <c r="F17" s="24" t="s">
        <v>20</v>
      </c>
      <c r="G17" s="21"/>
      <c r="H17" s="21"/>
    </row>
    <row r="18" spans="1:8" x14ac:dyDescent="0.25">
      <c r="A18" s="20">
        <v>3</v>
      </c>
      <c r="B18" s="21" t="s">
        <v>185</v>
      </c>
      <c r="C18" s="21" t="s">
        <v>147</v>
      </c>
      <c r="D18" s="23" t="s">
        <v>141</v>
      </c>
      <c r="E18" s="20" t="s">
        <v>141</v>
      </c>
      <c r="F18" s="24" t="s">
        <v>20</v>
      </c>
      <c r="G18" s="21" t="s">
        <v>148</v>
      </c>
      <c r="H18" s="21"/>
    </row>
    <row r="19" spans="1:8" x14ac:dyDescent="0.25">
      <c r="A19" s="20">
        <v>3</v>
      </c>
      <c r="B19" s="21" t="s">
        <v>273</v>
      </c>
      <c r="C19" s="21" t="s">
        <v>147</v>
      </c>
      <c r="D19" s="23" t="s">
        <v>141</v>
      </c>
      <c r="E19" s="20" t="s">
        <v>141</v>
      </c>
      <c r="F19" s="24" t="s">
        <v>20</v>
      </c>
      <c r="G19" s="21" t="s">
        <v>148</v>
      </c>
      <c r="H19" s="21"/>
    </row>
    <row r="20" spans="1:8" ht="25.5" x14ac:dyDescent="0.25">
      <c r="A20" s="20">
        <v>3</v>
      </c>
      <c r="B20" s="21" t="s">
        <v>274</v>
      </c>
      <c r="C20" s="21" t="s">
        <v>13</v>
      </c>
      <c r="D20" s="23" t="s">
        <v>141</v>
      </c>
      <c r="E20" s="20" t="s">
        <v>141</v>
      </c>
      <c r="F20" s="24" t="s">
        <v>20</v>
      </c>
      <c r="G20" s="21" t="s">
        <v>142</v>
      </c>
      <c r="H20" s="21"/>
    </row>
    <row r="21" spans="1:8" ht="25.5" x14ac:dyDescent="0.25">
      <c r="A21" s="20">
        <v>3</v>
      </c>
      <c r="B21" s="21" t="s">
        <v>178</v>
      </c>
      <c r="C21" s="21" t="s">
        <v>179</v>
      </c>
      <c r="D21" s="23" t="s">
        <v>141</v>
      </c>
      <c r="E21" s="20" t="s">
        <v>141</v>
      </c>
      <c r="F21" s="24" t="s">
        <v>20</v>
      </c>
      <c r="G21" s="21" t="s">
        <v>180</v>
      </c>
      <c r="H21" s="21"/>
    </row>
    <row r="22" spans="1:8" ht="25.5" x14ac:dyDescent="0.25">
      <c r="A22" s="20">
        <v>4</v>
      </c>
      <c r="B22" s="21" t="s">
        <v>181</v>
      </c>
      <c r="C22" s="21" t="s">
        <v>144</v>
      </c>
      <c r="D22" s="23" t="s">
        <v>141</v>
      </c>
      <c r="E22" s="20" t="s">
        <v>141</v>
      </c>
      <c r="F22" s="24" t="s">
        <v>20</v>
      </c>
      <c r="G22" s="21" t="s">
        <v>170</v>
      </c>
      <c r="H22" s="21"/>
    </row>
    <row r="23" spans="1:8" ht="25.5" x14ac:dyDescent="0.25">
      <c r="A23" s="20">
        <v>4</v>
      </c>
      <c r="B23" s="21" t="s">
        <v>275</v>
      </c>
      <c r="C23" s="21" t="s">
        <v>128</v>
      </c>
      <c r="D23" s="19" t="s">
        <v>129</v>
      </c>
      <c r="E23" s="20" t="s">
        <v>50</v>
      </c>
      <c r="F23" s="26" t="s">
        <v>6</v>
      </c>
      <c r="G23" s="21" t="s">
        <v>184</v>
      </c>
      <c r="H23" s="21"/>
    </row>
    <row r="24" spans="1:8" x14ac:dyDescent="0.25">
      <c r="A24" s="20">
        <v>4</v>
      </c>
      <c r="B24" s="21" t="s">
        <v>276</v>
      </c>
      <c r="C24" s="21" t="s">
        <v>156</v>
      </c>
      <c r="D24" s="23" t="s">
        <v>141</v>
      </c>
      <c r="E24" s="20" t="s">
        <v>141</v>
      </c>
      <c r="F24" s="24" t="s">
        <v>20</v>
      </c>
      <c r="G24" s="21"/>
      <c r="H24" s="21"/>
    </row>
    <row r="25" spans="1:8" x14ac:dyDescent="0.25">
      <c r="A25" s="20">
        <v>4</v>
      </c>
      <c r="B25" s="21" t="s">
        <v>277</v>
      </c>
      <c r="C25" s="21" t="s">
        <v>278</v>
      </c>
      <c r="D25" s="23" t="s">
        <v>141</v>
      </c>
      <c r="E25" s="20" t="s">
        <v>141</v>
      </c>
      <c r="F25" s="24" t="s">
        <v>20</v>
      </c>
      <c r="G25" s="21" t="s">
        <v>279</v>
      </c>
      <c r="H25" s="21"/>
    </row>
    <row r="26" spans="1:8" ht="25.5" x14ac:dyDescent="0.25">
      <c r="A26" s="20">
        <v>4</v>
      </c>
      <c r="B26" s="21" t="s">
        <v>280</v>
      </c>
      <c r="C26" s="21" t="s">
        <v>13</v>
      </c>
      <c r="D26" s="23" t="s">
        <v>141</v>
      </c>
      <c r="E26" s="20" t="s">
        <v>141</v>
      </c>
      <c r="F26" s="24" t="s">
        <v>20</v>
      </c>
      <c r="G26" s="21" t="s">
        <v>142</v>
      </c>
      <c r="H26" s="21"/>
    </row>
    <row r="27" spans="1:8" ht="25.5" x14ac:dyDescent="0.25">
      <c r="A27" s="20">
        <v>4</v>
      </c>
      <c r="B27" s="21" t="s">
        <v>192</v>
      </c>
      <c r="C27" s="21" t="s">
        <v>179</v>
      </c>
      <c r="D27" s="23" t="s">
        <v>141</v>
      </c>
      <c r="E27" s="20" t="s">
        <v>141</v>
      </c>
      <c r="F27" s="24" t="s">
        <v>20</v>
      </c>
      <c r="G27" s="21" t="s">
        <v>180</v>
      </c>
      <c r="H27" s="21"/>
    </row>
    <row r="28" spans="1:8" ht="25.5" x14ac:dyDescent="0.25">
      <c r="A28" s="20">
        <v>4</v>
      </c>
      <c r="B28" s="21" t="s">
        <v>281</v>
      </c>
      <c r="C28" s="21" t="s">
        <v>160</v>
      </c>
      <c r="D28" s="23" t="s">
        <v>141</v>
      </c>
      <c r="E28" s="20" t="s">
        <v>141</v>
      </c>
      <c r="F28" s="24" t="s">
        <v>20</v>
      </c>
      <c r="G28" s="21" t="s">
        <v>282</v>
      </c>
      <c r="H28" s="21"/>
    </row>
    <row r="29" spans="1:8" ht="25.5" x14ac:dyDescent="0.25">
      <c r="A29" s="20">
        <v>5</v>
      </c>
      <c r="B29" s="21" t="s">
        <v>283</v>
      </c>
      <c r="C29" s="21" t="s">
        <v>160</v>
      </c>
      <c r="D29" s="23" t="s">
        <v>141</v>
      </c>
      <c r="E29" s="20" t="s">
        <v>141</v>
      </c>
      <c r="F29" s="24" t="s">
        <v>20</v>
      </c>
      <c r="G29" s="21" t="s">
        <v>161</v>
      </c>
      <c r="H29" s="21"/>
    </row>
    <row r="30" spans="1:8" x14ac:dyDescent="0.25">
      <c r="A30" s="20">
        <v>5</v>
      </c>
      <c r="B30" s="21" t="s">
        <v>284</v>
      </c>
      <c r="C30" s="21" t="s">
        <v>285</v>
      </c>
      <c r="D30" s="23" t="s">
        <v>141</v>
      </c>
      <c r="E30" s="20" t="s">
        <v>141</v>
      </c>
      <c r="F30" s="24" t="s">
        <v>20</v>
      </c>
      <c r="G30" s="21" t="s">
        <v>286</v>
      </c>
      <c r="H30" s="21"/>
    </row>
    <row r="31" spans="1:8" x14ac:dyDescent="0.25">
      <c r="A31" s="20">
        <v>5</v>
      </c>
      <c r="B31" s="21" t="s">
        <v>287</v>
      </c>
      <c r="C31" s="21" t="s">
        <v>156</v>
      </c>
      <c r="D31" s="23" t="s">
        <v>141</v>
      </c>
      <c r="E31" s="20" t="s">
        <v>141</v>
      </c>
      <c r="F31" s="24" t="s">
        <v>20</v>
      </c>
      <c r="G31" s="21"/>
      <c r="H31" s="21"/>
    </row>
    <row r="32" spans="1:8" ht="25.5" x14ac:dyDescent="0.25">
      <c r="A32" s="20">
        <v>5</v>
      </c>
      <c r="B32" s="21" t="s">
        <v>189</v>
      </c>
      <c r="C32" s="21" t="s">
        <v>189</v>
      </c>
      <c r="D32" s="23" t="s">
        <v>141</v>
      </c>
      <c r="E32" s="20" t="s">
        <v>141</v>
      </c>
      <c r="F32" s="24" t="s">
        <v>20</v>
      </c>
      <c r="G32" s="21" t="s">
        <v>190</v>
      </c>
      <c r="H32" s="21"/>
    </row>
    <row r="33" spans="1:8" ht="25.5" x14ac:dyDescent="0.25">
      <c r="A33" s="20">
        <v>5</v>
      </c>
      <c r="B33" s="21" t="s">
        <v>288</v>
      </c>
      <c r="C33" s="21" t="s">
        <v>160</v>
      </c>
      <c r="D33" s="23" t="s">
        <v>141</v>
      </c>
      <c r="E33" s="20" t="s">
        <v>141</v>
      </c>
      <c r="F33" s="24" t="s">
        <v>20</v>
      </c>
      <c r="G33" s="21" t="s">
        <v>161</v>
      </c>
      <c r="H33" s="21"/>
    </row>
    <row r="34" spans="1:8" x14ac:dyDescent="0.25">
      <c r="A34" s="20">
        <v>5</v>
      </c>
      <c r="B34" s="21" t="s">
        <v>289</v>
      </c>
      <c r="C34" s="21" t="s">
        <v>278</v>
      </c>
      <c r="D34" s="23" t="s">
        <v>141</v>
      </c>
      <c r="E34" s="20" t="s">
        <v>141</v>
      </c>
      <c r="F34" s="24" t="s">
        <v>20</v>
      </c>
      <c r="G34" s="21" t="s">
        <v>279</v>
      </c>
      <c r="H34" s="21"/>
    </row>
    <row r="35" spans="1:8" ht="25.5" x14ac:dyDescent="0.25">
      <c r="A35" s="20">
        <v>5</v>
      </c>
      <c r="B35" s="21" t="s">
        <v>204</v>
      </c>
      <c r="C35" s="21" t="s">
        <v>179</v>
      </c>
      <c r="D35" s="23" t="s">
        <v>141</v>
      </c>
      <c r="E35" s="20" t="s">
        <v>141</v>
      </c>
      <c r="F35" s="24" t="s">
        <v>20</v>
      </c>
      <c r="G35" s="21" t="s">
        <v>180</v>
      </c>
      <c r="H35" s="21"/>
    </row>
    <row r="36" spans="1:8" ht="25.5" x14ac:dyDescent="0.25">
      <c r="A36" s="20">
        <v>6</v>
      </c>
      <c r="B36" s="27" t="s">
        <v>290</v>
      </c>
      <c r="C36" s="27" t="s">
        <v>291</v>
      </c>
      <c r="D36" s="23" t="s">
        <v>141</v>
      </c>
      <c r="E36" s="20" t="s">
        <v>141</v>
      </c>
      <c r="F36" s="24" t="s">
        <v>20</v>
      </c>
      <c r="G36" s="21" t="s">
        <v>292</v>
      </c>
      <c r="H36" s="21"/>
    </row>
    <row r="37" spans="1:8" x14ac:dyDescent="0.25">
      <c r="A37" s="20">
        <v>6</v>
      </c>
      <c r="B37" s="27" t="s">
        <v>293</v>
      </c>
      <c r="C37" s="27" t="s">
        <v>285</v>
      </c>
      <c r="D37" s="23" t="s">
        <v>141</v>
      </c>
      <c r="E37" s="20" t="s">
        <v>141</v>
      </c>
      <c r="F37" s="24" t="s">
        <v>20</v>
      </c>
      <c r="G37" s="21" t="s">
        <v>286</v>
      </c>
      <c r="H37" s="21"/>
    </row>
    <row r="38" spans="1:8" x14ac:dyDescent="0.25">
      <c r="A38" s="20">
        <v>6</v>
      </c>
      <c r="B38" s="21" t="s">
        <v>294</v>
      </c>
      <c r="C38" s="21" t="s">
        <v>156</v>
      </c>
      <c r="D38" s="23" t="s">
        <v>141</v>
      </c>
      <c r="E38" s="20" t="s">
        <v>141</v>
      </c>
      <c r="F38" s="24" t="s">
        <v>20</v>
      </c>
      <c r="G38" s="21"/>
      <c r="H38" s="21"/>
    </row>
    <row r="39" spans="1:8" x14ac:dyDescent="0.25">
      <c r="A39" s="20">
        <v>6</v>
      </c>
      <c r="B39" s="21" t="s">
        <v>295</v>
      </c>
      <c r="C39" s="21" t="s">
        <v>296</v>
      </c>
      <c r="D39" s="19" t="s">
        <v>75</v>
      </c>
      <c r="E39" s="20" t="s">
        <v>47</v>
      </c>
      <c r="F39" s="25" t="s">
        <v>5</v>
      </c>
      <c r="G39" s="21" t="s">
        <v>297</v>
      </c>
      <c r="H39" s="21"/>
    </row>
    <row r="40" spans="1:8" x14ac:dyDescent="0.25">
      <c r="A40" s="20">
        <v>6</v>
      </c>
      <c r="B40" s="21" t="s">
        <v>298</v>
      </c>
      <c r="C40" s="21" t="s">
        <v>156</v>
      </c>
      <c r="D40" s="23" t="s">
        <v>141</v>
      </c>
      <c r="E40" s="20" t="s">
        <v>141</v>
      </c>
      <c r="F40" s="24" t="s">
        <v>20</v>
      </c>
      <c r="G40" s="21" t="s">
        <v>299</v>
      </c>
      <c r="H40" s="21"/>
    </row>
    <row r="41" spans="1:8" ht="25.5" x14ac:dyDescent="0.25">
      <c r="A41" s="20">
        <v>6</v>
      </c>
      <c r="B41" s="21" t="s">
        <v>215</v>
      </c>
      <c r="C41" s="21" t="s">
        <v>179</v>
      </c>
      <c r="D41" s="23" t="s">
        <v>141</v>
      </c>
      <c r="E41" s="20" t="s">
        <v>141</v>
      </c>
      <c r="F41" s="24" t="s">
        <v>20</v>
      </c>
      <c r="G41" s="21" t="s">
        <v>180</v>
      </c>
      <c r="H41" s="21"/>
    </row>
    <row r="42" spans="1:8" ht="25.5" x14ac:dyDescent="0.25">
      <c r="A42" s="20">
        <v>6</v>
      </c>
      <c r="B42" s="21" t="s">
        <v>300</v>
      </c>
      <c r="C42" s="21" t="s">
        <v>243</v>
      </c>
      <c r="D42" s="23" t="s">
        <v>141</v>
      </c>
      <c r="E42" s="20" t="s">
        <v>141</v>
      </c>
      <c r="F42" s="24" t="s">
        <v>20</v>
      </c>
      <c r="G42" s="21" t="s">
        <v>244</v>
      </c>
      <c r="H42" s="21"/>
    </row>
    <row r="43" spans="1:8" ht="25.5" x14ac:dyDescent="0.25">
      <c r="A43" s="20">
        <v>7</v>
      </c>
      <c r="B43" s="21" t="s">
        <v>301</v>
      </c>
      <c r="C43" s="21" t="s">
        <v>291</v>
      </c>
      <c r="D43" s="23" t="s">
        <v>141</v>
      </c>
      <c r="E43" s="20" t="s">
        <v>141</v>
      </c>
      <c r="F43" s="24" t="s">
        <v>20</v>
      </c>
      <c r="G43" s="21" t="s">
        <v>292</v>
      </c>
      <c r="H43" s="21"/>
    </row>
    <row r="44" spans="1:8" x14ac:dyDescent="0.25">
      <c r="A44" s="20">
        <v>7</v>
      </c>
      <c r="B44" s="21" t="s">
        <v>302</v>
      </c>
      <c r="C44" s="21" t="s">
        <v>303</v>
      </c>
      <c r="D44" s="23" t="s">
        <v>141</v>
      </c>
      <c r="E44" s="20" t="s">
        <v>141</v>
      </c>
      <c r="F44" s="24" t="s">
        <v>20</v>
      </c>
      <c r="G44" s="21" t="s">
        <v>286</v>
      </c>
      <c r="H44" s="21"/>
    </row>
    <row r="45" spans="1:8" x14ac:dyDescent="0.25">
      <c r="A45" s="20">
        <v>7</v>
      </c>
      <c r="B45" s="21" t="s">
        <v>214</v>
      </c>
      <c r="C45" s="21" t="s">
        <v>175</v>
      </c>
      <c r="D45" s="23" t="s">
        <v>141</v>
      </c>
      <c r="E45" s="20" t="s">
        <v>141</v>
      </c>
      <c r="F45" s="24" t="s">
        <v>20</v>
      </c>
      <c r="G45" s="21"/>
      <c r="H45" s="21"/>
    </row>
    <row r="46" spans="1:8" x14ac:dyDescent="0.25">
      <c r="A46" s="20">
        <v>7</v>
      </c>
      <c r="B46" s="21" t="s">
        <v>304</v>
      </c>
      <c r="C46" s="21" t="s">
        <v>305</v>
      </c>
      <c r="D46" s="23" t="s">
        <v>141</v>
      </c>
      <c r="E46" s="20" t="s">
        <v>141</v>
      </c>
      <c r="F46" s="24" t="s">
        <v>20</v>
      </c>
      <c r="G46" s="21"/>
      <c r="H46" s="21"/>
    </row>
    <row r="47" spans="1:8" ht="25.5" x14ac:dyDescent="0.25">
      <c r="A47" s="20">
        <v>7</v>
      </c>
      <c r="B47" s="21" t="s">
        <v>306</v>
      </c>
      <c r="C47" s="21" t="s">
        <v>156</v>
      </c>
      <c r="D47" s="23" t="s">
        <v>141</v>
      </c>
      <c r="E47" s="20" t="s">
        <v>141</v>
      </c>
      <c r="F47" s="24" t="s">
        <v>20</v>
      </c>
      <c r="G47" s="21"/>
      <c r="H47" s="21" t="s">
        <v>307</v>
      </c>
    </row>
    <row r="48" spans="1:8" ht="25.5" x14ac:dyDescent="0.25">
      <c r="A48" s="20">
        <v>7</v>
      </c>
      <c r="B48" s="21" t="s">
        <v>308</v>
      </c>
      <c r="C48" s="21" t="s">
        <v>243</v>
      </c>
      <c r="D48" s="23" t="s">
        <v>141</v>
      </c>
      <c r="E48" s="20" t="s">
        <v>141</v>
      </c>
      <c r="F48" s="24" t="s">
        <v>20</v>
      </c>
      <c r="G48" s="21" t="s">
        <v>244</v>
      </c>
      <c r="H48" s="21"/>
    </row>
    <row r="49" spans="1:8" ht="25.5" x14ac:dyDescent="0.25">
      <c r="A49" s="20">
        <v>8</v>
      </c>
      <c r="B49" s="21" t="s">
        <v>309</v>
      </c>
      <c r="C49" s="21" t="s">
        <v>291</v>
      </c>
      <c r="D49" s="23" t="s">
        <v>141</v>
      </c>
      <c r="E49" s="20" t="s">
        <v>141</v>
      </c>
      <c r="F49" s="24" t="s">
        <v>20</v>
      </c>
      <c r="G49" s="21" t="s">
        <v>292</v>
      </c>
      <c r="H49" s="21"/>
    </row>
    <row r="50" spans="1:8" x14ac:dyDescent="0.25">
      <c r="A50" s="20">
        <v>8</v>
      </c>
      <c r="B50" s="21" t="s">
        <v>310</v>
      </c>
      <c r="C50" s="21" t="s">
        <v>285</v>
      </c>
      <c r="D50" s="23" t="s">
        <v>141</v>
      </c>
      <c r="E50" s="20" t="s">
        <v>141</v>
      </c>
      <c r="F50" s="24" t="s">
        <v>20</v>
      </c>
      <c r="G50" s="21" t="s">
        <v>286</v>
      </c>
      <c r="H50" s="21"/>
    </row>
    <row r="51" spans="1:8" ht="25.5" x14ac:dyDescent="0.25">
      <c r="A51" s="20">
        <v>8</v>
      </c>
      <c r="B51" s="21" t="s">
        <v>311</v>
      </c>
      <c r="C51" s="21" t="s">
        <v>156</v>
      </c>
      <c r="D51" s="23" t="s">
        <v>141</v>
      </c>
      <c r="E51" s="20" t="s">
        <v>141</v>
      </c>
      <c r="F51" s="24" t="s">
        <v>20</v>
      </c>
      <c r="G51" s="21"/>
      <c r="H51" s="21" t="s">
        <v>307</v>
      </c>
    </row>
    <row r="52" spans="1:8" ht="25.5" x14ac:dyDescent="0.25">
      <c r="A52" s="20">
        <v>8</v>
      </c>
      <c r="B52" s="21" t="s">
        <v>228</v>
      </c>
      <c r="C52" s="21" t="s">
        <v>229</v>
      </c>
      <c r="D52" s="19" t="s">
        <v>84</v>
      </c>
      <c r="E52" s="20" t="s">
        <v>47</v>
      </c>
      <c r="F52" s="26" t="s">
        <v>6</v>
      </c>
      <c r="G52" s="21" t="s">
        <v>230</v>
      </c>
      <c r="H52" s="21"/>
    </row>
    <row r="53" spans="1:8" x14ac:dyDescent="0.25">
      <c r="A53" s="20">
        <v>8</v>
      </c>
      <c r="B53" s="21" t="s">
        <v>312</v>
      </c>
      <c r="C53" s="21" t="s">
        <v>313</v>
      </c>
      <c r="D53" s="23" t="s">
        <v>141</v>
      </c>
      <c r="E53" s="20" t="s">
        <v>141</v>
      </c>
      <c r="F53" s="24" t="s">
        <v>20</v>
      </c>
      <c r="G53" s="21" t="s">
        <v>286</v>
      </c>
      <c r="H53" s="21"/>
    </row>
    <row r="54" spans="1:8" ht="25.5" x14ac:dyDescent="0.25">
      <c r="A54" s="20">
        <v>8</v>
      </c>
      <c r="B54" s="21" t="s">
        <v>252</v>
      </c>
      <c r="C54" s="21" t="s">
        <v>253</v>
      </c>
      <c r="D54" s="23" t="s">
        <v>141</v>
      </c>
      <c r="E54" s="20" t="s">
        <v>141</v>
      </c>
      <c r="F54" s="24" t="s">
        <v>20</v>
      </c>
      <c r="G54" s="21" t="s">
        <v>254</v>
      </c>
      <c r="H54" s="21"/>
    </row>
    <row r="55" spans="1:8" x14ac:dyDescent="0.25">
      <c r="A55" s="20">
        <v>9</v>
      </c>
      <c r="B55" s="21" t="s">
        <v>314</v>
      </c>
      <c r="C55" s="21" t="s">
        <v>315</v>
      </c>
      <c r="D55" s="23" t="s">
        <v>141</v>
      </c>
      <c r="E55" s="20" t="s">
        <v>141</v>
      </c>
      <c r="F55" s="24" t="s">
        <v>20</v>
      </c>
      <c r="G55" s="21"/>
      <c r="H55" s="21"/>
    </row>
    <row r="56" spans="1:8" x14ac:dyDescent="0.25">
      <c r="A56" s="20">
        <v>9</v>
      </c>
      <c r="B56" s="21" t="s">
        <v>316</v>
      </c>
      <c r="C56" s="21" t="s">
        <v>317</v>
      </c>
      <c r="D56" s="23" t="s">
        <v>141</v>
      </c>
      <c r="E56" s="20" t="s">
        <v>141</v>
      </c>
      <c r="F56" s="24" t="s">
        <v>20</v>
      </c>
      <c r="G56" s="21" t="s">
        <v>318</v>
      </c>
      <c r="H56" s="21"/>
    </row>
    <row r="57" spans="1:8" x14ac:dyDescent="0.25">
      <c r="A57" s="20">
        <v>9</v>
      </c>
      <c r="B57" s="21" t="s">
        <v>319</v>
      </c>
      <c r="C57" s="21" t="s">
        <v>210</v>
      </c>
      <c r="D57" s="19" t="s">
        <v>49</v>
      </c>
      <c r="E57" s="20" t="s">
        <v>50</v>
      </c>
      <c r="F57" s="26" t="s">
        <v>6</v>
      </c>
      <c r="G57" s="21" t="s">
        <v>211</v>
      </c>
      <c r="H57" s="21"/>
    </row>
    <row r="58" spans="1:8" ht="25.5" x14ac:dyDescent="0.25">
      <c r="A58" s="20">
        <v>9</v>
      </c>
      <c r="B58" s="21" t="s">
        <v>281</v>
      </c>
      <c r="C58" s="21" t="s">
        <v>160</v>
      </c>
      <c r="D58" s="23" t="s">
        <v>141</v>
      </c>
      <c r="E58" s="20" t="s">
        <v>141</v>
      </c>
      <c r="F58" s="24" t="s">
        <v>20</v>
      </c>
      <c r="G58" s="21" t="s">
        <v>282</v>
      </c>
      <c r="H58" s="21"/>
    </row>
    <row r="59" spans="1:8" ht="25.5" x14ac:dyDescent="0.25">
      <c r="A59" s="20">
        <v>9</v>
      </c>
      <c r="B59" s="21" t="s">
        <v>219</v>
      </c>
      <c r="C59" s="21" t="s">
        <v>220</v>
      </c>
      <c r="D59" s="23" t="s">
        <v>141</v>
      </c>
      <c r="E59" s="20" t="s">
        <v>141</v>
      </c>
      <c r="F59" s="24" t="s">
        <v>20</v>
      </c>
      <c r="G59" s="21" t="s">
        <v>221</v>
      </c>
      <c r="H59" s="21"/>
    </row>
    <row r="60" spans="1:8" ht="25.5" x14ac:dyDescent="0.25">
      <c r="A60" s="20">
        <v>9</v>
      </c>
      <c r="B60" s="21" t="s">
        <v>320</v>
      </c>
      <c r="C60" s="21" t="s">
        <v>243</v>
      </c>
      <c r="D60" s="23" t="s">
        <v>141</v>
      </c>
      <c r="E60" s="20" t="s">
        <v>141</v>
      </c>
      <c r="F60" s="24" t="s">
        <v>20</v>
      </c>
      <c r="G60" s="21" t="s">
        <v>244</v>
      </c>
      <c r="H60" s="21"/>
    </row>
    <row r="61" spans="1:8" ht="25.5" x14ac:dyDescent="0.25">
      <c r="A61" s="20">
        <v>10</v>
      </c>
      <c r="B61" s="21" t="s">
        <v>321</v>
      </c>
      <c r="C61" s="21" t="s">
        <v>243</v>
      </c>
      <c r="D61" s="23" t="s">
        <v>141</v>
      </c>
      <c r="E61" s="20" t="s">
        <v>141</v>
      </c>
      <c r="F61" s="24" t="s">
        <v>20</v>
      </c>
      <c r="G61" s="21" t="s">
        <v>244</v>
      </c>
      <c r="H61" s="21"/>
    </row>
    <row r="62" spans="1:8" ht="25.5" x14ac:dyDescent="0.25">
      <c r="A62" s="20">
        <v>10</v>
      </c>
      <c r="B62" s="21" t="s">
        <v>322</v>
      </c>
      <c r="C62" s="21" t="s">
        <v>243</v>
      </c>
      <c r="D62" s="23" t="s">
        <v>141</v>
      </c>
      <c r="E62" s="20" t="s">
        <v>141</v>
      </c>
      <c r="F62" s="24" t="s">
        <v>20</v>
      </c>
      <c r="G62" s="21" t="s">
        <v>244</v>
      </c>
      <c r="H62" s="21"/>
    </row>
    <row r="63" spans="1:8" x14ac:dyDescent="0.25">
      <c r="A63" s="20">
        <v>10</v>
      </c>
      <c r="B63" s="21" t="s">
        <v>256</v>
      </c>
      <c r="C63" s="21" t="s">
        <v>257</v>
      </c>
      <c r="D63" s="23" t="s">
        <v>141</v>
      </c>
      <c r="E63" s="20" t="s">
        <v>141</v>
      </c>
      <c r="F63" s="24" t="s">
        <v>20</v>
      </c>
      <c r="G63" s="21" t="s">
        <v>258</v>
      </c>
      <c r="H63" s="21"/>
    </row>
    <row r="64" spans="1:8" ht="25.5" x14ac:dyDescent="0.25">
      <c r="A64" s="20">
        <v>10</v>
      </c>
      <c r="B64" s="21" t="s">
        <v>323</v>
      </c>
      <c r="C64" s="21" t="s">
        <v>160</v>
      </c>
      <c r="D64" s="23" t="s">
        <v>141</v>
      </c>
      <c r="E64" s="20" t="s">
        <v>141</v>
      </c>
      <c r="F64" s="24" t="s">
        <v>20</v>
      </c>
      <c r="G64" s="21" t="s">
        <v>161</v>
      </c>
      <c r="H64" s="21"/>
    </row>
    <row r="65" spans="1:8" x14ac:dyDescent="0.25">
      <c r="A65" s="20">
        <v>10</v>
      </c>
      <c r="B65" s="21" t="s">
        <v>324</v>
      </c>
      <c r="C65" s="21" t="s">
        <v>325</v>
      </c>
      <c r="D65" s="23" t="s">
        <v>141</v>
      </c>
      <c r="E65" s="20" t="s">
        <v>141</v>
      </c>
      <c r="F65" s="24" t="s">
        <v>20</v>
      </c>
      <c r="G65" s="21"/>
      <c r="H65" s="2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showGridLines="0" workbookViewId="0">
      <pane ySplit="2" topLeftCell="A3" activePane="bottomLeft" state="frozen"/>
      <selection pane="bottomLeft" activeCell="D41" sqref="D41"/>
    </sheetView>
  </sheetViews>
  <sheetFormatPr baseColWidth="10" defaultColWidth="9.140625" defaultRowHeight="15" x14ac:dyDescent="0.25"/>
  <cols>
    <col min="1" max="1" width="10" customWidth="1"/>
    <col min="2" max="2" width="58" customWidth="1"/>
    <col min="3" max="3" width="26" customWidth="1"/>
    <col min="4" max="4" width="30" customWidth="1"/>
    <col min="5" max="5" width="12" customWidth="1"/>
    <col min="6" max="6" width="16" customWidth="1"/>
    <col min="7" max="7" width="46" customWidth="1"/>
    <col min="8" max="8" width="26" customWidth="1"/>
  </cols>
  <sheetData>
    <row r="1" spans="1:8" ht="16.5" x14ac:dyDescent="0.25">
      <c r="A1" s="22" t="s">
        <v>326</v>
      </c>
    </row>
    <row r="2" spans="1:8" ht="30" customHeight="1" x14ac:dyDescent="0.25">
      <c r="A2" s="4" t="s">
        <v>132</v>
      </c>
      <c r="B2" s="4" t="s">
        <v>133</v>
      </c>
      <c r="C2" s="4" t="s">
        <v>134</v>
      </c>
      <c r="D2" s="4" t="s">
        <v>135</v>
      </c>
      <c r="E2" s="4" t="s">
        <v>136</v>
      </c>
      <c r="F2" s="4" t="s">
        <v>137</v>
      </c>
      <c r="G2" s="4" t="s">
        <v>138</v>
      </c>
      <c r="H2" s="4" t="s">
        <v>139</v>
      </c>
    </row>
    <row r="3" spans="1:8" ht="25.5" x14ac:dyDescent="0.25">
      <c r="A3" s="20">
        <v>1</v>
      </c>
      <c r="B3" s="21" t="s">
        <v>143</v>
      </c>
      <c r="C3" s="21" t="s">
        <v>144</v>
      </c>
      <c r="D3" s="23" t="s">
        <v>141</v>
      </c>
      <c r="E3" s="20" t="s">
        <v>141</v>
      </c>
      <c r="F3" s="24" t="s">
        <v>20</v>
      </c>
      <c r="G3" s="21" t="s">
        <v>145</v>
      </c>
      <c r="H3" s="21"/>
    </row>
    <row r="4" spans="1:8" ht="25.5" x14ac:dyDescent="0.25">
      <c r="A4" s="20">
        <v>1</v>
      </c>
      <c r="B4" s="21" t="s">
        <v>140</v>
      </c>
      <c r="C4" s="21" t="s">
        <v>13</v>
      </c>
      <c r="D4" s="23" t="s">
        <v>141</v>
      </c>
      <c r="E4" s="20" t="s">
        <v>141</v>
      </c>
      <c r="F4" s="24" t="s">
        <v>20</v>
      </c>
      <c r="G4" s="21" t="s">
        <v>142</v>
      </c>
      <c r="H4" s="21"/>
    </row>
    <row r="5" spans="1:8" x14ac:dyDescent="0.25">
      <c r="A5" s="20">
        <v>1</v>
      </c>
      <c r="B5" s="21" t="s">
        <v>146</v>
      </c>
      <c r="C5" s="21" t="s">
        <v>147</v>
      </c>
      <c r="D5" s="23" t="s">
        <v>141</v>
      </c>
      <c r="E5" s="20" t="s">
        <v>141</v>
      </c>
      <c r="F5" s="24" t="s">
        <v>20</v>
      </c>
      <c r="G5" s="21" t="s">
        <v>148</v>
      </c>
      <c r="H5" s="21"/>
    </row>
    <row r="6" spans="1:8" x14ac:dyDescent="0.25">
      <c r="A6" s="20">
        <v>1</v>
      </c>
      <c r="B6" s="21" t="s">
        <v>149</v>
      </c>
      <c r="C6" s="21" t="s">
        <v>150</v>
      </c>
      <c r="D6" s="19" t="s">
        <v>151</v>
      </c>
      <c r="E6" s="20" t="s">
        <v>40</v>
      </c>
      <c r="F6" s="25" t="s">
        <v>5</v>
      </c>
      <c r="G6" s="21"/>
      <c r="H6" s="21"/>
    </row>
    <row r="7" spans="1:8" ht="25.5" x14ac:dyDescent="0.25">
      <c r="A7" s="20">
        <v>1</v>
      </c>
      <c r="B7" s="21" t="s">
        <v>327</v>
      </c>
      <c r="C7" s="21" t="s">
        <v>153</v>
      </c>
      <c r="D7" s="23" t="s">
        <v>141</v>
      </c>
      <c r="E7" s="20" t="s">
        <v>141</v>
      </c>
      <c r="F7" s="24" t="s">
        <v>20</v>
      </c>
      <c r="G7" s="21" t="s">
        <v>154</v>
      </c>
      <c r="H7" s="21"/>
    </row>
    <row r="8" spans="1:8" x14ac:dyDescent="0.25">
      <c r="A8" s="20">
        <v>1</v>
      </c>
      <c r="B8" s="21" t="s">
        <v>155</v>
      </c>
      <c r="C8" s="21" t="s">
        <v>156</v>
      </c>
      <c r="D8" s="19" t="s">
        <v>70</v>
      </c>
      <c r="E8" s="20" t="s">
        <v>40</v>
      </c>
      <c r="F8" s="25" t="s">
        <v>5</v>
      </c>
      <c r="G8" s="21"/>
      <c r="H8" s="21"/>
    </row>
    <row r="9" spans="1:8" ht="25.5" x14ac:dyDescent="0.25">
      <c r="A9" s="20">
        <v>2</v>
      </c>
      <c r="B9" s="21" t="s">
        <v>157</v>
      </c>
      <c r="C9" s="21" t="s">
        <v>144</v>
      </c>
      <c r="D9" s="23" t="s">
        <v>141</v>
      </c>
      <c r="E9" s="20" t="s">
        <v>141</v>
      </c>
      <c r="F9" s="24" t="s">
        <v>20</v>
      </c>
      <c r="G9" s="21" t="s">
        <v>145</v>
      </c>
      <c r="H9" s="21"/>
    </row>
    <row r="10" spans="1:8" ht="25.5" x14ac:dyDescent="0.25">
      <c r="A10" s="20">
        <v>2</v>
      </c>
      <c r="B10" s="21" t="s">
        <v>206</v>
      </c>
      <c r="C10" s="21" t="s">
        <v>207</v>
      </c>
      <c r="D10" s="23" t="s">
        <v>141</v>
      </c>
      <c r="E10" s="20" t="s">
        <v>141</v>
      </c>
      <c r="F10" s="24" t="s">
        <v>20</v>
      </c>
      <c r="G10" s="21" t="s">
        <v>208</v>
      </c>
      <c r="H10" s="21"/>
    </row>
    <row r="11" spans="1:8" x14ac:dyDescent="0.25">
      <c r="A11" s="20">
        <v>2</v>
      </c>
      <c r="B11" s="21" t="s">
        <v>173</v>
      </c>
      <c r="C11" s="21" t="s">
        <v>147</v>
      </c>
      <c r="D11" s="23" t="s">
        <v>141</v>
      </c>
      <c r="E11" s="20" t="s">
        <v>141</v>
      </c>
      <c r="F11" s="24" t="s">
        <v>20</v>
      </c>
      <c r="G11" s="21" t="s">
        <v>148</v>
      </c>
      <c r="H11" s="21"/>
    </row>
    <row r="12" spans="1:8" ht="25.5" x14ac:dyDescent="0.25">
      <c r="A12" s="20">
        <v>2</v>
      </c>
      <c r="B12" s="21" t="s">
        <v>158</v>
      </c>
      <c r="C12" s="21" t="s">
        <v>13</v>
      </c>
      <c r="D12" s="23" t="s">
        <v>141</v>
      </c>
      <c r="E12" s="20" t="s">
        <v>141</v>
      </c>
      <c r="F12" s="24" t="s">
        <v>20</v>
      </c>
      <c r="G12" s="21" t="s">
        <v>142</v>
      </c>
      <c r="H12" s="21"/>
    </row>
    <row r="13" spans="1:8" ht="25.5" x14ac:dyDescent="0.25">
      <c r="A13" s="20">
        <v>2</v>
      </c>
      <c r="B13" s="21" t="s">
        <v>328</v>
      </c>
      <c r="C13" s="21" t="s">
        <v>11</v>
      </c>
      <c r="D13" s="23" t="s">
        <v>141</v>
      </c>
      <c r="E13" s="20" t="s">
        <v>141</v>
      </c>
      <c r="F13" s="24" t="s">
        <v>20</v>
      </c>
      <c r="G13" s="21" t="s">
        <v>329</v>
      </c>
      <c r="H13" s="21"/>
    </row>
    <row r="14" spans="1:8" ht="25.5" x14ac:dyDescent="0.25">
      <c r="A14" s="20">
        <v>2</v>
      </c>
      <c r="B14" s="21" t="s">
        <v>330</v>
      </c>
      <c r="C14" s="21" t="s">
        <v>165</v>
      </c>
      <c r="D14" s="23" t="s">
        <v>141</v>
      </c>
      <c r="E14" s="20" t="s">
        <v>141</v>
      </c>
      <c r="F14" s="24" t="s">
        <v>20</v>
      </c>
      <c r="G14" s="21" t="s">
        <v>166</v>
      </c>
      <c r="H14" s="21"/>
    </row>
    <row r="15" spans="1:8" ht="25.5" x14ac:dyDescent="0.25">
      <c r="A15" s="20">
        <v>2</v>
      </c>
      <c r="B15" s="21" t="s">
        <v>331</v>
      </c>
      <c r="C15" s="21" t="s">
        <v>179</v>
      </c>
      <c r="D15" s="23" t="s">
        <v>141</v>
      </c>
      <c r="E15" s="20" t="s">
        <v>141</v>
      </c>
      <c r="F15" s="24" t="s">
        <v>20</v>
      </c>
      <c r="G15" s="21" t="s">
        <v>180</v>
      </c>
      <c r="H15" s="21"/>
    </row>
    <row r="16" spans="1:8" ht="25.5" x14ac:dyDescent="0.25">
      <c r="A16" s="20">
        <v>3</v>
      </c>
      <c r="B16" s="21" t="s">
        <v>332</v>
      </c>
      <c r="C16" s="21" t="s">
        <v>144</v>
      </c>
      <c r="D16" s="23" t="s">
        <v>141</v>
      </c>
      <c r="E16" s="20" t="s">
        <v>141</v>
      </c>
      <c r="F16" s="24" t="s">
        <v>20</v>
      </c>
      <c r="G16" s="21" t="s">
        <v>170</v>
      </c>
      <c r="H16" s="21"/>
    </row>
    <row r="17" spans="1:8" ht="25.5" x14ac:dyDescent="0.25">
      <c r="A17" s="20">
        <v>3</v>
      </c>
      <c r="B17" s="21" t="s">
        <v>333</v>
      </c>
      <c r="C17" s="21" t="s">
        <v>175</v>
      </c>
      <c r="D17" s="19" t="s">
        <v>72</v>
      </c>
      <c r="E17" s="20" t="s">
        <v>73</v>
      </c>
      <c r="F17" s="26" t="s">
        <v>6</v>
      </c>
      <c r="G17" s="21" t="s">
        <v>176</v>
      </c>
      <c r="H17" s="21"/>
    </row>
    <row r="18" spans="1:8" x14ac:dyDescent="0.25">
      <c r="A18" s="20">
        <v>3</v>
      </c>
      <c r="B18" s="21" t="s">
        <v>334</v>
      </c>
      <c r="C18" s="21" t="s">
        <v>147</v>
      </c>
      <c r="D18" s="23" t="s">
        <v>141</v>
      </c>
      <c r="E18" s="20" t="s">
        <v>141</v>
      </c>
      <c r="F18" s="24" t="s">
        <v>20</v>
      </c>
      <c r="G18" s="21" t="s">
        <v>148</v>
      </c>
      <c r="H18" s="21"/>
    </row>
    <row r="19" spans="1:8" ht="25.5" x14ac:dyDescent="0.25">
      <c r="A19" s="20">
        <v>3</v>
      </c>
      <c r="B19" s="21" t="s">
        <v>177</v>
      </c>
      <c r="C19" s="21" t="s">
        <v>13</v>
      </c>
      <c r="D19" s="23" t="s">
        <v>141</v>
      </c>
      <c r="E19" s="20" t="s">
        <v>141</v>
      </c>
      <c r="F19" s="24" t="s">
        <v>20</v>
      </c>
      <c r="G19" s="21" t="s">
        <v>142</v>
      </c>
      <c r="H19" s="21"/>
    </row>
    <row r="20" spans="1:8" x14ac:dyDescent="0.25">
      <c r="A20" s="20">
        <v>3</v>
      </c>
      <c r="B20" s="21" t="s">
        <v>335</v>
      </c>
      <c r="C20" s="21" t="s">
        <v>11</v>
      </c>
      <c r="D20" s="23" t="s">
        <v>141</v>
      </c>
      <c r="E20" s="20" t="s">
        <v>141</v>
      </c>
      <c r="F20" s="24" t="s">
        <v>20</v>
      </c>
      <c r="G20" s="21"/>
      <c r="H20" s="21"/>
    </row>
    <row r="21" spans="1:8" ht="25.5" x14ac:dyDescent="0.25">
      <c r="A21" s="20">
        <v>3</v>
      </c>
      <c r="B21" s="21" t="s">
        <v>336</v>
      </c>
      <c r="C21" s="21" t="s">
        <v>179</v>
      </c>
      <c r="D21" s="23" t="s">
        <v>141</v>
      </c>
      <c r="E21" s="20" t="s">
        <v>141</v>
      </c>
      <c r="F21" s="24" t="s">
        <v>20</v>
      </c>
      <c r="G21" s="21" t="s">
        <v>180</v>
      </c>
      <c r="H21" s="21"/>
    </row>
    <row r="22" spans="1:8" ht="25.5" x14ac:dyDescent="0.25">
      <c r="A22" s="20">
        <v>4</v>
      </c>
      <c r="B22" s="21" t="s">
        <v>337</v>
      </c>
      <c r="C22" s="21" t="s">
        <v>144</v>
      </c>
      <c r="D22" s="23" t="s">
        <v>141</v>
      </c>
      <c r="E22" s="20" t="s">
        <v>141</v>
      </c>
      <c r="F22" s="24" t="s">
        <v>20</v>
      </c>
      <c r="G22" s="21" t="s">
        <v>170</v>
      </c>
      <c r="H22" s="21"/>
    </row>
    <row r="23" spans="1:8" ht="25.5" x14ac:dyDescent="0.25">
      <c r="A23" s="20">
        <v>4</v>
      </c>
      <c r="B23" s="21" t="s">
        <v>159</v>
      </c>
      <c r="C23" s="21" t="s">
        <v>160</v>
      </c>
      <c r="D23" s="23" t="s">
        <v>141</v>
      </c>
      <c r="E23" s="20" t="s">
        <v>141</v>
      </c>
      <c r="F23" s="24" t="s">
        <v>20</v>
      </c>
      <c r="G23" s="21" t="s">
        <v>161</v>
      </c>
      <c r="H23" s="21"/>
    </row>
    <row r="24" spans="1:8" x14ac:dyDescent="0.25">
      <c r="A24" s="20">
        <v>4</v>
      </c>
      <c r="B24" s="21" t="s">
        <v>338</v>
      </c>
      <c r="C24" s="21" t="s">
        <v>147</v>
      </c>
      <c r="D24" s="23" t="s">
        <v>141</v>
      </c>
      <c r="E24" s="20" t="s">
        <v>141</v>
      </c>
      <c r="F24" s="24" t="s">
        <v>20</v>
      </c>
      <c r="G24" s="21" t="s">
        <v>148</v>
      </c>
      <c r="H24" s="21"/>
    </row>
    <row r="25" spans="1:8" ht="25.5" x14ac:dyDescent="0.25">
      <c r="A25" s="20">
        <v>4</v>
      </c>
      <c r="B25" s="21" t="s">
        <v>339</v>
      </c>
      <c r="C25" s="21" t="s">
        <v>11</v>
      </c>
      <c r="D25" s="19" t="s">
        <v>95</v>
      </c>
      <c r="E25" s="20" t="s">
        <v>47</v>
      </c>
      <c r="F25" s="26" t="s">
        <v>6</v>
      </c>
      <c r="G25" s="21" t="s">
        <v>329</v>
      </c>
      <c r="H25" s="21"/>
    </row>
    <row r="26" spans="1:8" ht="25.5" x14ac:dyDescent="0.25">
      <c r="A26" s="20">
        <v>4</v>
      </c>
      <c r="B26" s="21" t="s">
        <v>340</v>
      </c>
      <c r="C26" s="21" t="s">
        <v>11</v>
      </c>
      <c r="D26" s="19" t="s">
        <v>97</v>
      </c>
      <c r="E26" s="20" t="s">
        <v>47</v>
      </c>
      <c r="F26" s="26" t="s">
        <v>6</v>
      </c>
      <c r="G26" s="21" t="s">
        <v>329</v>
      </c>
      <c r="H26" s="21"/>
    </row>
    <row r="27" spans="1:8" ht="25.5" x14ac:dyDescent="0.25">
      <c r="A27" s="20">
        <v>4</v>
      </c>
      <c r="B27" s="21" t="s">
        <v>341</v>
      </c>
      <c r="C27" s="21" t="s">
        <v>179</v>
      </c>
      <c r="D27" s="23" t="s">
        <v>141</v>
      </c>
      <c r="E27" s="20" t="s">
        <v>141</v>
      </c>
      <c r="F27" s="24" t="s">
        <v>20</v>
      </c>
      <c r="G27" s="21" t="s">
        <v>180</v>
      </c>
      <c r="H27" s="21"/>
    </row>
    <row r="28" spans="1:8" ht="25.5" x14ac:dyDescent="0.25">
      <c r="A28" s="20">
        <v>5</v>
      </c>
      <c r="B28" s="21" t="s">
        <v>342</v>
      </c>
      <c r="C28" s="21" t="s">
        <v>160</v>
      </c>
      <c r="D28" s="23" t="s">
        <v>141</v>
      </c>
      <c r="E28" s="20" t="s">
        <v>141</v>
      </c>
      <c r="F28" s="24" t="s">
        <v>20</v>
      </c>
      <c r="G28" s="21" t="s">
        <v>161</v>
      </c>
      <c r="H28" s="21"/>
    </row>
    <row r="29" spans="1:8" x14ac:dyDescent="0.25">
      <c r="A29" s="20">
        <v>5</v>
      </c>
      <c r="B29" s="21" t="s">
        <v>193</v>
      </c>
      <c r="C29" s="21" t="s">
        <v>128</v>
      </c>
      <c r="D29" s="23" t="s">
        <v>141</v>
      </c>
      <c r="E29" s="20" t="s">
        <v>141</v>
      </c>
      <c r="F29" s="24" t="s">
        <v>20</v>
      </c>
      <c r="G29" s="21"/>
      <c r="H29" s="21"/>
    </row>
    <row r="30" spans="1:8" ht="25.5" x14ac:dyDescent="0.25">
      <c r="A30" s="20">
        <v>5</v>
      </c>
      <c r="B30" s="21" t="s">
        <v>343</v>
      </c>
      <c r="C30" s="21" t="s">
        <v>344</v>
      </c>
      <c r="D30" s="23" t="s">
        <v>141</v>
      </c>
      <c r="E30" s="20" t="s">
        <v>141</v>
      </c>
      <c r="F30" s="24" t="s">
        <v>20</v>
      </c>
      <c r="G30" s="21" t="s">
        <v>241</v>
      </c>
      <c r="H30" s="21"/>
    </row>
    <row r="31" spans="1:8" x14ac:dyDescent="0.25">
      <c r="A31" s="20">
        <v>5</v>
      </c>
      <c r="B31" s="21" t="s">
        <v>186</v>
      </c>
      <c r="C31" s="21" t="s">
        <v>187</v>
      </c>
      <c r="D31" s="19" t="s">
        <v>58</v>
      </c>
      <c r="E31" s="20" t="s">
        <v>40</v>
      </c>
      <c r="F31" s="25" t="s">
        <v>5</v>
      </c>
      <c r="G31" s="21"/>
      <c r="H31" s="21"/>
    </row>
    <row r="32" spans="1:8" x14ac:dyDescent="0.25">
      <c r="A32" s="20">
        <v>5</v>
      </c>
      <c r="B32" s="21" t="s">
        <v>345</v>
      </c>
      <c r="C32" s="21" t="s">
        <v>346</v>
      </c>
      <c r="D32" s="23" t="s">
        <v>141</v>
      </c>
      <c r="E32" s="20" t="s">
        <v>141</v>
      </c>
      <c r="F32" s="24" t="s">
        <v>20</v>
      </c>
      <c r="G32" s="21" t="s">
        <v>227</v>
      </c>
      <c r="H32" s="21"/>
    </row>
    <row r="33" spans="1:8" x14ac:dyDescent="0.25">
      <c r="A33" s="20">
        <v>5</v>
      </c>
      <c r="B33" s="21" t="s">
        <v>347</v>
      </c>
      <c r="C33" s="21" t="s">
        <v>128</v>
      </c>
      <c r="D33" s="19" t="s">
        <v>129</v>
      </c>
      <c r="E33" s="20" t="s">
        <v>50</v>
      </c>
      <c r="F33" s="26" t="s">
        <v>6</v>
      </c>
      <c r="G33" s="21" t="s">
        <v>348</v>
      </c>
      <c r="H33" s="21"/>
    </row>
    <row r="34" spans="1:8" ht="25.5" x14ac:dyDescent="0.25">
      <c r="A34" s="20">
        <v>5</v>
      </c>
      <c r="B34" s="21" t="s">
        <v>349</v>
      </c>
      <c r="C34" s="21" t="s">
        <v>179</v>
      </c>
      <c r="D34" s="23" t="s">
        <v>141</v>
      </c>
      <c r="E34" s="20" t="s">
        <v>141</v>
      </c>
      <c r="F34" s="24" t="s">
        <v>20</v>
      </c>
      <c r="G34" s="21" t="s">
        <v>180</v>
      </c>
      <c r="H34" s="21"/>
    </row>
    <row r="35" spans="1:8" x14ac:dyDescent="0.25">
      <c r="A35" s="20">
        <v>6</v>
      </c>
      <c r="B35" s="21" t="s">
        <v>350</v>
      </c>
      <c r="C35" s="21" t="s">
        <v>189</v>
      </c>
      <c r="D35" s="23" t="s">
        <v>141</v>
      </c>
      <c r="E35" s="20" t="s">
        <v>141</v>
      </c>
      <c r="F35" s="24" t="s">
        <v>20</v>
      </c>
      <c r="G35" s="21"/>
      <c r="H35" s="21"/>
    </row>
    <row r="36" spans="1:8" x14ac:dyDescent="0.25">
      <c r="A36" s="20">
        <v>6</v>
      </c>
      <c r="B36" s="21" t="s">
        <v>351</v>
      </c>
      <c r="C36" s="21" t="s">
        <v>352</v>
      </c>
      <c r="D36" s="19" t="s">
        <v>103</v>
      </c>
      <c r="E36" s="20" t="s">
        <v>53</v>
      </c>
      <c r="F36" s="26" t="s">
        <v>6</v>
      </c>
      <c r="G36" s="21"/>
      <c r="H36" s="21"/>
    </row>
    <row r="37" spans="1:8" ht="25.5" x14ac:dyDescent="0.25">
      <c r="A37" s="20">
        <v>6</v>
      </c>
      <c r="B37" s="21" t="s">
        <v>353</v>
      </c>
      <c r="C37" s="21" t="s">
        <v>217</v>
      </c>
      <c r="D37" s="23" t="s">
        <v>141</v>
      </c>
      <c r="E37" s="20" t="s">
        <v>141</v>
      </c>
      <c r="F37" s="24" t="s">
        <v>20</v>
      </c>
      <c r="G37" s="21" t="s">
        <v>218</v>
      </c>
      <c r="H37" s="21"/>
    </row>
    <row r="38" spans="1:8" x14ac:dyDescent="0.25">
      <c r="A38" s="20">
        <v>6</v>
      </c>
      <c r="B38" s="21" t="s">
        <v>354</v>
      </c>
      <c r="C38" s="21" t="s">
        <v>11</v>
      </c>
      <c r="D38" s="19" t="s">
        <v>101</v>
      </c>
      <c r="E38" s="20" t="s">
        <v>50</v>
      </c>
      <c r="F38" s="26" t="s">
        <v>6</v>
      </c>
      <c r="G38" s="21"/>
      <c r="H38" s="21"/>
    </row>
    <row r="39" spans="1:8" ht="25.5" x14ac:dyDescent="0.25">
      <c r="A39" s="20">
        <v>6</v>
      </c>
      <c r="B39" s="21" t="s">
        <v>355</v>
      </c>
      <c r="C39" s="21" t="s">
        <v>356</v>
      </c>
      <c r="D39" s="23" t="s">
        <v>141</v>
      </c>
      <c r="E39" s="20" t="s">
        <v>141</v>
      </c>
      <c r="F39" s="24" t="s">
        <v>20</v>
      </c>
      <c r="G39" s="21" t="s">
        <v>142</v>
      </c>
      <c r="H39" s="21"/>
    </row>
    <row r="40" spans="1:8" ht="25.5" x14ac:dyDescent="0.25">
      <c r="A40" s="20">
        <v>7</v>
      </c>
      <c r="B40" s="21" t="s">
        <v>357</v>
      </c>
      <c r="C40" s="21" t="s">
        <v>220</v>
      </c>
      <c r="D40" s="23" t="s">
        <v>141</v>
      </c>
      <c r="E40" s="20" t="s">
        <v>141</v>
      </c>
      <c r="F40" s="24" t="s">
        <v>20</v>
      </c>
      <c r="G40" s="21" t="s">
        <v>221</v>
      </c>
      <c r="H40" s="21"/>
    </row>
    <row r="41" spans="1:8" x14ac:dyDescent="0.25">
      <c r="A41" s="20">
        <v>7</v>
      </c>
      <c r="B41" s="21" t="s">
        <v>358</v>
      </c>
      <c r="C41" s="21" t="s">
        <v>175</v>
      </c>
      <c r="D41" s="23" t="s">
        <v>141</v>
      </c>
      <c r="E41" s="20" t="s">
        <v>141</v>
      </c>
      <c r="F41" s="24" t="s">
        <v>20</v>
      </c>
      <c r="G41" s="21"/>
      <c r="H41" s="21"/>
    </row>
    <row r="42" spans="1:8" x14ac:dyDescent="0.25">
      <c r="A42" s="20">
        <v>7</v>
      </c>
      <c r="B42" s="21" t="s">
        <v>359</v>
      </c>
      <c r="C42" s="21" t="s">
        <v>147</v>
      </c>
      <c r="D42" s="23" t="s">
        <v>141</v>
      </c>
      <c r="E42" s="20" t="s">
        <v>141</v>
      </c>
      <c r="F42" s="24" t="s">
        <v>20</v>
      </c>
      <c r="G42" s="21" t="s">
        <v>148</v>
      </c>
      <c r="H42" s="21"/>
    </row>
    <row r="43" spans="1:8" x14ac:dyDescent="0.25">
      <c r="A43" s="20">
        <v>7</v>
      </c>
      <c r="B43" s="21" t="s">
        <v>360</v>
      </c>
      <c r="C43" s="21" t="s">
        <v>361</v>
      </c>
      <c r="D43" s="19" t="s">
        <v>68</v>
      </c>
      <c r="E43" s="20" t="s">
        <v>53</v>
      </c>
      <c r="F43" s="25" t="s">
        <v>5</v>
      </c>
      <c r="G43" s="21"/>
      <c r="H43" s="21"/>
    </row>
    <row r="44" spans="1:8" x14ac:dyDescent="0.25">
      <c r="A44" s="20">
        <v>8</v>
      </c>
      <c r="B44" s="21" t="s">
        <v>245</v>
      </c>
      <c r="C44" s="21" t="s">
        <v>246</v>
      </c>
      <c r="D44" s="19" t="s">
        <v>49</v>
      </c>
      <c r="E44" s="20" t="s">
        <v>50</v>
      </c>
      <c r="F44" s="26" t="s">
        <v>6</v>
      </c>
      <c r="G44" s="21"/>
      <c r="H44" s="21"/>
    </row>
    <row r="45" spans="1:8" ht="25.5" x14ac:dyDescent="0.25">
      <c r="A45" s="20">
        <v>8</v>
      </c>
      <c r="B45" s="21" t="s">
        <v>362</v>
      </c>
      <c r="C45" s="21" t="s">
        <v>229</v>
      </c>
      <c r="D45" s="19" t="s">
        <v>84</v>
      </c>
      <c r="E45" s="20" t="s">
        <v>47</v>
      </c>
      <c r="F45" s="26" t="s">
        <v>6</v>
      </c>
      <c r="G45" s="21" t="s">
        <v>230</v>
      </c>
      <c r="H45" s="21"/>
    </row>
    <row r="46" spans="1:8" ht="25.5" x14ac:dyDescent="0.25">
      <c r="A46" s="20">
        <v>8</v>
      </c>
      <c r="B46" s="21" t="s">
        <v>363</v>
      </c>
      <c r="C46" s="21" t="s">
        <v>240</v>
      </c>
      <c r="D46" s="23" t="s">
        <v>141</v>
      </c>
      <c r="E46" s="20" t="s">
        <v>141</v>
      </c>
      <c r="F46" s="24" t="s">
        <v>20</v>
      </c>
      <c r="G46" s="21" t="s">
        <v>241</v>
      </c>
      <c r="H46" s="21"/>
    </row>
    <row r="47" spans="1:8" ht="25.5" x14ac:dyDescent="0.25">
      <c r="A47" s="20">
        <v>8</v>
      </c>
      <c r="B47" s="21" t="s">
        <v>364</v>
      </c>
      <c r="C47" s="21" t="s">
        <v>253</v>
      </c>
      <c r="D47" s="23" t="s">
        <v>141</v>
      </c>
      <c r="E47" s="20" t="s">
        <v>141</v>
      </c>
      <c r="F47" s="24" t="s">
        <v>20</v>
      </c>
      <c r="G47" s="21" t="s">
        <v>254</v>
      </c>
      <c r="H47" s="21"/>
    </row>
    <row r="48" spans="1:8" ht="25.5" x14ac:dyDescent="0.25">
      <c r="A48" s="20">
        <v>8</v>
      </c>
      <c r="B48" s="21" t="s">
        <v>365</v>
      </c>
      <c r="C48" s="21" t="s">
        <v>366</v>
      </c>
      <c r="D48" s="23" t="s">
        <v>141</v>
      </c>
      <c r="E48" s="20" t="s">
        <v>141</v>
      </c>
      <c r="F48" s="24" t="s">
        <v>20</v>
      </c>
      <c r="G48" s="21" t="s">
        <v>329</v>
      </c>
      <c r="H48" s="21"/>
    </row>
    <row r="49" spans="1:8" ht="25.5" x14ac:dyDescent="0.25">
      <c r="A49" s="20">
        <v>9</v>
      </c>
      <c r="B49" s="21" t="s">
        <v>367</v>
      </c>
      <c r="C49" s="21" t="s">
        <v>11</v>
      </c>
      <c r="D49" s="23" t="s">
        <v>141</v>
      </c>
      <c r="E49" s="20" t="s">
        <v>141</v>
      </c>
      <c r="F49" s="24" t="s">
        <v>20</v>
      </c>
      <c r="G49" s="21" t="s">
        <v>329</v>
      </c>
      <c r="H49" s="21"/>
    </row>
    <row r="50" spans="1:8" x14ac:dyDescent="0.25">
      <c r="A50" s="20">
        <v>9</v>
      </c>
      <c r="B50" s="21" t="s">
        <v>368</v>
      </c>
      <c r="C50" s="21" t="s">
        <v>257</v>
      </c>
      <c r="D50" s="23" t="s">
        <v>141</v>
      </c>
      <c r="E50" s="20" t="s">
        <v>141</v>
      </c>
      <c r="F50" s="24" t="s">
        <v>20</v>
      </c>
      <c r="G50" s="21" t="s">
        <v>258</v>
      </c>
      <c r="H50" s="21"/>
    </row>
    <row r="51" spans="1:8" ht="25.5" x14ac:dyDescent="0.25">
      <c r="A51" s="20">
        <v>9</v>
      </c>
      <c r="B51" s="21" t="s">
        <v>369</v>
      </c>
      <c r="C51" s="21" t="s">
        <v>243</v>
      </c>
      <c r="D51" s="23" t="s">
        <v>141</v>
      </c>
      <c r="E51" s="20" t="s">
        <v>141</v>
      </c>
      <c r="F51" s="24" t="s">
        <v>20</v>
      </c>
      <c r="G51" s="21" t="s">
        <v>244</v>
      </c>
      <c r="H51" s="2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showGridLines="0" workbookViewId="0">
      <pane ySplit="2" topLeftCell="A3" activePane="bottomLeft" state="frozen"/>
      <selection pane="bottomLeft" activeCell="D31" sqref="D31"/>
    </sheetView>
  </sheetViews>
  <sheetFormatPr baseColWidth="10" defaultColWidth="9.140625" defaultRowHeight="15" x14ac:dyDescent="0.25"/>
  <cols>
    <col min="1" max="1" width="10" customWidth="1"/>
    <col min="2" max="2" width="58" customWidth="1"/>
    <col min="3" max="3" width="26" customWidth="1"/>
    <col min="4" max="4" width="30" customWidth="1"/>
    <col min="5" max="5" width="12" customWidth="1"/>
    <col min="6" max="6" width="16" customWidth="1"/>
    <col min="7" max="7" width="46" customWidth="1"/>
    <col min="8" max="8" width="26" customWidth="1"/>
  </cols>
  <sheetData>
    <row r="1" spans="1:8" ht="16.5" x14ac:dyDescent="0.25">
      <c r="A1" s="22" t="s">
        <v>370</v>
      </c>
    </row>
    <row r="2" spans="1:8" ht="30" customHeight="1" x14ac:dyDescent="0.25">
      <c r="A2" s="4" t="s">
        <v>132</v>
      </c>
      <c r="B2" s="4" t="s">
        <v>133</v>
      </c>
      <c r="C2" s="4" t="s">
        <v>134</v>
      </c>
      <c r="D2" s="4" t="s">
        <v>135</v>
      </c>
      <c r="E2" s="4" t="s">
        <v>136</v>
      </c>
      <c r="F2" s="4" t="s">
        <v>137</v>
      </c>
      <c r="G2" s="4" t="s">
        <v>138</v>
      </c>
      <c r="H2" s="4" t="s">
        <v>139</v>
      </c>
    </row>
    <row r="3" spans="1:8" ht="25.5" x14ac:dyDescent="0.25">
      <c r="A3" s="20">
        <v>1</v>
      </c>
      <c r="B3" s="21" t="s">
        <v>371</v>
      </c>
      <c r="C3" s="21" t="s">
        <v>144</v>
      </c>
      <c r="D3" s="23" t="s">
        <v>141</v>
      </c>
      <c r="E3" s="20" t="s">
        <v>141</v>
      </c>
      <c r="F3" s="24" t="s">
        <v>20</v>
      </c>
      <c r="G3" s="21" t="s">
        <v>145</v>
      </c>
      <c r="H3" s="21"/>
    </row>
    <row r="4" spans="1:8" x14ac:dyDescent="0.25">
      <c r="A4" s="20">
        <v>1</v>
      </c>
      <c r="B4" s="21" t="s">
        <v>271</v>
      </c>
      <c r="C4" s="21" t="s">
        <v>150</v>
      </c>
      <c r="D4" s="19" t="s">
        <v>151</v>
      </c>
      <c r="E4" s="20" t="s">
        <v>40</v>
      </c>
      <c r="F4" s="25" t="s">
        <v>5</v>
      </c>
      <c r="G4" s="21"/>
      <c r="H4" s="21"/>
    </row>
    <row r="5" spans="1:8" x14ac:dyDescent="0.25">
      <c r="A5" s="20">
        <v>1</v>
      </c>
      <c r="B5" s="21" t="s">
        <v>372</v>
      </c>
      <c r="C5" s="21" t="s">
        <v>156</v>
      </c>
      <c r="D5" s="19" t="s">
        <v>70</v>
      </c>
      <c r="E5" s="20" t="s">
        <v>40</v>
      </c>
      <c r="F5" s="25" t="s">
        <v>5</v>
      </c>
      <c r="G5" s="21"/>
      <c r="H5" s="21"/>
    </row>
    <row r="6" spans="1:8" ht="25.5" x14ac:dyDescent="0.25">
      <c r="A6" s="20">
        <v>1</v>
      </c>
      <c r="B6" s="21" t="s">
        <v>373</v>
      </c>
      <c r="C6" s="21" t="s">
        <v>13</v>
      </c>
      <c r="D6" s="23" t="s">
        <v>141</v>
      </c>
      <c r="E6" s="20" t="s">
        <v>141</v>
      </c>
      <c r="F6" s="24" t="s">
        <v>20</v>
      </c>
      <c r="G6" s="21" t="s">
        <v>142</v>
      </c>
      <c r="H6" s="21"/>
    </row>
    <row r="7" spans="1:8" x14ac:dyDescent="0.25">
      <c r="A7" s="20">
        <v>1</v>
      </c>
      <c r="B7" s="21" t="s">
        <v>374</v>
      </c>
      <c r="C7" s="21" t="s">
        <v>375</v>
      </c>
      <c r="D7" s="23" t="s">
        <v>141</v>
      </c>
      <c r="E7" s="20" t="s">
        <v>141</v>
      </c>
      <c r="F7" s="24" t="s">
        <v>20</v>
      </c>
      <c r="G7" s="21" t="s">
        <v>299</v>
      </c>
      <c r="H7" s="21"/>
    </row>
    <row r="8" spans="1:8" ht="25.5" x14ac:dyDescent="0.25">
      <c r="A8" s="20">
        <v>1</v>
      </c>
      <c r="B8" s="21" t="s">
        <v>376</v>
      </c>
      <c r="C8" s="21" t="s">
        <v>160</v>
      </c>
      <c r="D8" s="23" t="s">
        <v>141</v>
      </c>
      <c r="E8" s="20" t="s">
        <v>141</v>
      </c>
      <c r="F8" s="24" t="s">
        <v>20</v>
      </c>
      <c r="G8" s="21" t="s">
        <v>161</v>
      </c>
      <c r="H8" s="21"/>
    </row>
    <row r="9" spans="1:8" ht="25.5" x14ac:dyDescent="0.25">
      <c r="A9" s="20">
        <v>2</v>
      </c>
      <c r="B9" s="21" t="s">
        <v>377</v>
      </c>
      <c r="C9" s="21" t="s">
        <v>144</v>
      </c>
      <c r="D9" s="23" t="s">
        <v>141</v>
      </c>
      <c r="E9" s="20" t="s">
        <v>141</v>
      </c>
      <c r="F9" s="24" t="s">
        <v>20</v>
      </c>
      <c r="G9" s="21" t="s">
        <v>145</v>
      </c>
      <c r="H9" s="21"/>
    </row>
    <row r="10" spans="1:8" ht="25.5" x14ac:dyDescent="0.25">
      <c r="A10" s="20">
        <v>2</v>
      </c>
      <c r="B10" s="21" t="s">
        <v>376</v>
      </c>
      <c r="C10" s="21" t="s">
        <v>160</v>
      </c>
      <c r="D10" s="23" t="s">
        <v>141</v>
      </c>
      <c r="E10" s="20" t="s">
        <v>141</v>
      </c>
      <c r="F10" s="24" t="s">
        <v>20</v>
      </c>
      <c r="G10" s="21" t="s">
        <v>161</v>
      </c>
      <c r="H10" s="21"/>
    </row>
    <row r="11" spans="1:8" x14ac:dyDescent="0.25">
      <c r="A11" s="20">
        <v>2</v>
      </c>
      <c r="B11" s="21" t="s">
        <v>378</v>
      </c>
      <c r="C11" s="21" t="s">
        <v>156</v>
      </c>
      <c r="D11" s="23" t="s">
        <v>141</v>
      </c>
      <c r="E11" s="20" t="s">
        <v>141</v>
      </c>
      <c r="F11" s="24" t="s">
        <v>20</v>
      </c>
      <c r="G11" s="21"/>
      <c r="H11" s="21"/>
    </row>
    <row r="12" spans="1:8" ht="25.5" x14ac:dyDescent="0.25">
      <c r="A12" s="20">
        <v>2</v>
      </c>
      <c r="B12" s="21" t="s">
        <v>379</v>
      </c>
      <c r="C12" s="21" t="s">
        <v>380</v>
      </c>
      <c r="D12" s="23" t="s">
        <v>141</v>
      </c>
      <c r="E12" s="20" t="s">
        <v>141</v>
      </c>
      <c r="F12" s="24" t="s">
        <v>20</v>
      </c>
      <c r="G12" s="21" t="s">
        <v>208</v>
      </c>
      <c r="H12" s="21"/>
    </row>
    <row r="13" spans="1:8" x14ac:dyDescent="0.25">
      <c r="A13" s="20">
        <v>2</v>
      </c>
      <c r="B13" s="21" t="s">
        <v>381</v>
      </c>
      <c r="C13" s="21" t="s">
        <v>147</v>
      </c>
      <c r="D13" s="23" t="s">
        <v>141</v>
      </c>
      <c r="E13" s="20" t="s">
        <v>141</v>
      </c>
      <c r="F13" s="24" t="s">
        <v>20</v>
      </c>
      <c r="G13" s="21" t="s">
        <v>148</v>
      </c>
      <c r="H13" s="21"/>
    </row>
    <row r="14" spans="1:8" ht="25.5" x14ac:dyDescent="0.25">
      <c r="A14" s="20">
        <v>2</v>
      </c>
      <c r="B14" s="21" t="s">
        <v>382</v>
      </c>
      <c r="C14" s="21" t="s">
        <v>168</v>
      </c>
      <c r="D14" s="23" t="s">
        <v>141</v>
      </c>
      <c r="E14" s="20" t="s">
        <v>141</v>
      </c>
      <c r="F14" s="24" t="s">
        <v>20</v>
      </c>
      <c r="G14" s="21" t="s">
        <v>161</v>
      </c>
      <c r="H14" s="21"/>
    </row>
    <row r="15" spans="1:8" ht="25.5" x14ac:dyDescent="0.25">
      <c r="A15" s="20">
        <v>3</v>
      </c>
      <c r="B15" s="21" t="s">
        <v>383</v>
      </c>
      <c r="C15" s="21" t="s">
        <v>144</v>
      </c>
      <c r="D15" s="23" t="s">
        <v>141</v>
      </c>
      <c r="E15" s="20" t="s">
        <v>141</v>
      </c>
      <c r="F15" s="24" t="s">
        <v>20</v>
      </c>
      <c r="G15" s="21" t="s">
        <v>170</v>
      </c>
      <c r="H15" s="21"/>
    </row>
    <row r="16" spans="1:8" ht="25.5" x14ac:dyDescent="0.25">
      <c r="A16" s="20">
        <v>3</v>
      </c>
      <c r="B16" s="21" t="s">
        <v>331</v>
      </c>
      <c r="C16" s="21" t="s">
        <v>179</v>
      </c>
      <c r="D16" s="23" t="s">
        <v>141</v>
      </c>
      <c r="E16" s="20" t="s">
        <v>141</v>
      </c>
      <c r="F16" s="24" t="s">
        <v>20</v>
      </c>
      <c r="G16" s="21" t="s">
        <v>180</v>
      </c>
      <c r="H16" s="21"/>
    </row>
    <row r="17" spans="1:8" x14ac:dyDescent="0.25">
      <c r="A17" s="20">
        <v>3</v>
      </c>
      <c r="B17" s="21" t="s">
        <v>384</v>
      </c>
      <c r="C17" s="21" t="s">
        <v>375</v>
      </c>
      <c r="D17" s="23" t="s">
        <v>141</v>
      </c>
      <c r="E17" s="20" t="s">
        <v>141</v>
      </c>
      <c r="F17" s="24" t="s">
        <v>20</v>
      </c>
      <c r="G17" s="21"/>
      <c r="H17" s="21"/>
    </row>
    <row r="18" spans="1:8" ht="25.5" x14ac:dyDescent="0.25">
      <c r="A18" s="20">
        <v>3</v>
      </c>
      <c r="B18" s="21" t="s">
        <v>385</v>
      </c>
      <c r="C18" s="21" t="s">
        <v>13</v>
      </c>
      <c r="D18" s="23" t="s">
        <v>141</v>
      </c>
      <c r="E18" s="20" t="s">
        <v>141</v>
      </c>
      <c r="F18" s="24" t="s">
        <v>20</v>
      </c>
      <c r="G18" s="21" t="s">
        <v>142</v>
      </c>
      <c r="H18" s="21"/>
    </row>
    <row r="19" spans="1:8" x14ac:dyDescent="0.25">
      <c r="A19" s="20">
        <v>3</v>
      </c>
      <c r="B19" s="21" t="s">
        <v>386</v>
      </c>
      <c r="C19" s="21" t="s">
        <v>375</v>
      </c>
      <c r="D19" s="23" t="s">
        <v>141</v>
      </c>
      <c r="E19" s="20" t="s">
        <v>141</v>
      </c>
      <c r="F19" s="24" t="s">
        <v>20</v>
      </c>
      <c r="G19" s="21" t="s">
        <v>387</v>
      </c>
      <c r="H19" s="21"/>
    </row>
    <row r="20" spans="1:8" ht="25.5" x14ac:dyDescent="0.25">
      <c r="A20" s="20">
        <v>3</v>
      </c>
      <c r="B20" s="21" t="s">
        <v>388</v>
      </c>
      <c r="C20" s="21" t="s">
        <v>153</v>
      </c>
      <c r="D20" s="23" t="s">
        <v>141</v>
      </c>
      <c r="E20" s="20" t="s">
        <v>141</v>
      </c>
      <c r="F20" s="24" t="s">
        <v>20</v>
      </c>
      <c r="G20" s="21" t="s">
        <v>154</v>
      </c>
      <c r="H20" s="21"/>
    </row>
    <row r="21" spans="1:8" ht="25.5" x14ac:dyDescent="0.25">
      <c r="A21" s="20">
        <v>4</v>
      </c>
      <c r="B21" s="21" t="s">
        <v>389</v>
      </c>
      <c r="C21" s="21" t="s">
        <v>144</v>
      </c>
      <c r="D21" s="23" t="s">
        <v>141</v>
      </c>
      <c r="E21" s="20" t="s">
        <v>141</v>
      </c>
      <c r="F21" s="24" t="s">
        <v>20</v>
      </c>
      <c r="G21" s="21" t="s">
        <v>170</v>
      </c>
      <c r="H21" s="21"/>
    </row>
    <row r="22" spans="1:8" ht="25.5" x14ac:dyDescent="0.25">
      <c r="A22" s="20">
        <v>4</v>
      </c>
      <c r="B22" s="21" t="s">
        <v>390</v>
      </c>
      <c r="C22" s="21" t="s">
        <v>175</v>
      </c>
      <c r="D22" s="19" t="s">
        <v>72</v>
      </c>
      <c r="E22" s="20" t="s">
        <v>73</v>
      </c>
      <c r="F22" s="26" t="s">
        <v>6</v>
      </c>
      <c r="G22" s="21" t="s">
        <v>176</v>
      </c>
      <c r="H22" s="21"/>
    </row>
    <row r="23" spans="1:8" x14ac:dyDescent="0.25">
      <c r="A23" s="20">
        <v>4</v>
      </c>
      <c r="B23" s="21" t="s">
        <v>391</v>
      </c>
      <c r="C23" s="21" t="s">
        <v>375</v>
      </c>
      <c r="D23" s="19" t="s">
        <v>79</v>
      </c>
      <c r="E23" s="20" t="s">
        <v>50</v>
      </c>
      <c r="F23" s="26" t="s">
        <v>6</v>
      </c>
      <c r="G23" s="21"/>
      <c r="H23" s="21"/>
    </row>
    <row r="24" spans="1:8" x14ac:dyDescent="0.25">
      <c r="A24" s="20">
        <v>4</v>
      </c>
      <c r="B24" s="21" t="s">
        <v>392</v>
      </c>
      <c r="C24" s="21" t="s">
        <v>175</v>
      </c>
      <c r="D24" s="23" t="s">
        <v>141</v>
      </c>
      <c r="E24" s="20" t="s">
        <v>141</v>
      </c>
      <c r="F24" s="24" t="s">
        <v>20</v>
      </c>
      <c r="G24" s="21"/>
      <c r="H24" s="21"/>
    </row>
    <row r="25" spans="1:8" ht="25.5" x14ac:dyDescent="0.25">
      <c r="A25" s="20">
        <v>4</v>
      </c>
      <c r="B25" s="21" t="s">
        <v>336</v>
      </c>
      <c r="C25" s="21" t="s">
        <v>179</v>
      </c>
      <c r="D25" s="23" t="s">
        <v>141</v>
      </c>
      <c r="E25" s="20" t="s">
        <v>141</v>
      </c>
      <c r="F25" s="24" t="s">
        <v>20</v>
      </c>
      <c r="G25" s="21" t="s">
        <v>180</v>
      </c>
      <c r="H25" s="21"/>
    </row>
    <row r="26" spans="1:8" ht="25.5" x14ac:dyDescent="0.25">
      <c r="A26" s="20">
        <v>4</v>
      </c>
      <c r="B26" s="21" t="s">
        <v>393</v>
      </c>
      <c r="C26" s="21" t="s">
        <v>165</v>
      </c>
      <c r="D26" s="23" t="s">
        <v>141</v>
      </c>
      <c r="E26" s="20" t="s">
        <v>141</v>
      </c>
      <c r="F26" s="24" t="s">
        <v>20</v>
      </c>
      <c r="G26" s="21" t="s">
        <v>166</v>
      </c>
      <c r="H26" s="21"/>
    </row>
    <row r="27" spans="1:8" ht="25.5" x14ac:dyDescent="0.25">
      <c r="A27" s="20">
        <v>5</v>
      </c>
      <c r="B27" s="21" t="s">
        <v>394</v>
      </c>
      <c r="C27" s="21" t="s">
        <v>229</v>
      </c>
      <c r="D27" s="19" t="s">
        <v>84</v>
      </c>
      <c r="E27" s="20" t="s">
        <v>47</v>
      </c>
      <c r="F27" s="26" t="s">
        <v>6</v>
      </c>
      <c r="G27" s="21" t="s">
        <v>230</v>
      </c>
      <c r="H27" s="21"/>
    </row>
    <row r="28" spans="1:8" ht="25.5" x14ac:dyDescent="0.25">
      <c r="A28" s="20">
        <v>5</v>
      </c>
      <c r="B28" s="21" t="s">
        <v>395</v>
      </c>
      <c r="C28" s="21" t="s">
        <v>189</v>
      </c>
      <c r="D28" s="19" t="s">
        <v>75</v>
      </c>
      <c r="E28" s="20" t="s">
        <v>47</v>
      </c>
      <c r="F28" s="25" t="s">
        <v>5</v>
      </c>
      <c r="G28" s="21" t="s">
        <v>190</v>
      </c>
      <c r="H28" s="21"/>
    </row>
    <row r="29" spans="1:8" x14ac:dyDescent="0.25">
      <c r="A29" s="20">
        <v>5</v>
      </c>
      <c r="B29" s="21" t="s">
        <v>396</v>
      </c>
      <c r="C29" s="21" t="s">
        <v>175</v>
      </c>
      <c r="D29" s="23" t="s">
        <v>141</v>
      </c>
      <c r="E29" s="20" t="s">
        <v>141</v>
      </c>
      <c r="F29" s="24" t="s">
        <v>20</v>
      </c>
      <c r="G29" s="21"/>
      <c r="H29" s="21"/>
    </row>
    <row r="30" spans="1:8" ht="25.5" x14ac:dyDescent="0.25">
      <c r="A30" s="20">
        <v>5</v>
      </c>
      <c r="B30" s="21" t="s">
        <v>397</v>
      </c>
      <c r="C30" s="21" t="s">
        <v>398</v>
      </c>
      <c r="D30" s="23" t="s">
        <v>141</v>
      </c>
      <c r="E30" s="20" t="s">
        <v>141</v>
      </c>
      <c r="F30" s="24" t="s">
        <v>20</v>
      </c>
      <c r="G30" s="21" t="s">
        <v>170</v>
      </c>
      <c r="H30" s="21"/>
    </row>
    <row r="31" spans="1:8" x14ac:dyDescent="0.25">
      <c r="A31" s="20">
        <v>5</v>
      </c>
      <c r="B31" s="21" t="s">
        <v>399</v>
      </c>
      <c r="C31" s="21" t="s">
        <v>375</v>
      </c>
      <c r="D31" s="19" t="s">
        <v>77</v>
      </c>
      <c r="E31" s="20" t="s">
        <v>47</v>
      </c>
      <c r="F31" s="25" t="s">
        <v>5</v>
      </c>
      <c r="G31" s="21"/>
      <c r="H31" s="21"/>
    </row>
    <row r="32" spans="1:8" ht="25.5" x14ac:dyDescent="0.25">
      <c r="A32" s="20">
        <v>5</v>
      </c>
      <c r="B32" s="21" t="s">
        <v>300</v>
      </c>
      <c r="C32" s="21" t="s">
        <v>243</v>
      </c>
      <c r="D32" s="23" t="s">
        <v>141</v>
      </c>
      <c r="E32" s="20" t="s">
        <v>141</v>
      </c>
      <c r="F32" s="24" t="s">
        <v>20</v>
      </c>
      <c r="G32" s="21" t="s">
        <v>244</v>
      </c>
      <c r="H32" s="21"/>
    </row>
    <row r="33" spans="1:8" ht="25.5" x14ac:dyDescent="0.25">
      <c r="A33" s="20">
        <v>5</v>
      </c>
      <c r="B33" s="21" t="s">
        <v>341</v>
      </c>
      <c r="C33" s="21" t="s">
        <v>179</v>
      </c>
      <c r="D33" s="23" t="s">
        <v>141</v>
      </c>
      <c r="E33" s="20" t="s">
        <v>141</v>
      </c>
      <c r="F33" s="24" t="s">
        <v>20</v>
      </c>
      <c r="G33" s="21" t="s">
        <v>180</v>
      </c>
      <c r="H33" s="21"/>
    </row>
    <row r="34" spans="1:8" ht="25.5" x14ac:dyDescent="0.25">
      <c r="A34" s="20">
        <v>6</v>
      </c>
      <c r="B34" s="21" t="s">
        <v>400</v>
      </c>
      <c r="C34" s="21" t="s">
        <v>257</v>
      </c>
      <c r="D34" s="23" t="s">
        <v>141</v>
      </c>
      <c r="E34" s="20" t="s">
        <v>141</v>
      </c>
      <c r="F34" s="24" t="s">
        <v>20</v>
      </c>
      <c r="G34" s="21" t="s">
        <v>254</v>
      </c>
      <c r="H34" s="21"/>
    </row>
    <row r="35" spans="1:8" x14ac:dyDescent="0.25">
      <c r="A35" s="20">
        <v>6</v>
      </c>
      <c r="B35" s="21" t="s">
        <v>401</v>
      </c>
      <c r="C35" s="21" t="s">
        <v>303</v>
      </c>
      <c r="D35" s="23" t="s">
        <v>141</v>
      </c>
      <c r="E35" s="20" t="s">
        <v>141</v>
      </c>
      <c r="F35" s="24" t="s">
        <v>20</v>
      </c>
      <c r="G35" s="21" t="s">
        <v>286</v>
      </c>
      <c r="H35" s="21"/>
    </row>
    <row r="36" spans="1:8" x14ac:dyDescent="0.25">
      <c r="A36" s="20">
        <v>6</v>
      </c>
      <c r="B36" s="21" t="s">
        <v>402</v>
      </c>
      <c r="C36" s="21" t="s">
        <v>278</v>
      </c>
      <c r="D36" s="23" t="s">
        <v>141</v>
      </c>
      <c r="E36" s="20" t="s">
        <v>141</v>
      </c>
      <c r="F36" s="24" t="s">
        <v>20</v>
      </c>
      <c r="G36" s="21" t="s">
        <v>279</v>
      </c>
      <c r="H36" s="21"/>
    </row>
    <row r="37" spans="1:8" x14ac:dyDescent="0.25">
      <c r="A37" s="20">
        <v>6</v>
      </c>
      <c r="B37" s="21" t="s">
        <v>251</v>
      </c>
      <c r="C37" s="21" t="s">
        <v>243</v>
      </c>
      <c r="D37" s="23" t="s">
        <v>141</v>
      </c>
      <c r="E37" s="20" t="s">
        <v>141</v>
      </c>
      <c r="F37" s="24" t="s">
        <v>20</v>
      </c>
      <c r="G37" s="21"/>
      <c r="H37" s="21"/>
    </row>
    <row r="38" spans="1:8" x14ac:dyDescent="0.25">
      <c r="A38" s="20">
        <v>6</v>
      </c>
      <c r="B38" s="21" t="s">
        <v>403</v>
      </c>
      <c r="C38" s="21" t="s">
        <v>404</v>
      </c>
      <c r="D38" s="23" t="s">
        <v>141</v>
      </c>
      <c r="E38" s="20" t="s">
        <v>141</v>
      </c>
      <c r="F38" s="24" t="s">
        <v>20</v>
      </c>
      <c r="G38" s="21"/>
      <c r="H38" s="21"/>
    </row>
    <row r="39" spans="1:8" x14ac:dyDescent="0.25">
      <c r="A39" s="20">
        <v>6</v>
      </c>
      <c r="B39" s="21" t="s">
        <v>349</v>
      </c>
      <c r="C39" s="21" t="s">
        <v>179</v>
      </c>
      <c r="D39" s="23" t="s">
        <v>141</v>
      </c>
      <c r="E39" s="20" t="s">
        <v>141</v>
      </c>
      <c r="F39" s="24" t="s">
        <v>20</v>
      </c>
      <c r="G39" s="21"/>
      <c r="H39" s="21"/>
    </row>
    <row r="40" spans="1:8" x14ac:dyDescent="0.25">
      <c r="A40" s="20">
        <v>7</v>
      </c>
      <c r="B40" s="21" t="s">
        <v>406</v>
      </c>
      <c r="C40" s="21" t="s">
        <v>317</v>
      </c>
      <c r="D40" s="23" t="s">
        <v>141</v>
      </c>
      <c r="E40" s="20" t="s">
        <v>141</v>
      </c>
      <c r="F40" s="24" t="s">
        <v>20</v>
      </c>
      <c r="G40" s="21"/>
      <c r="H40" s="21"/>
    </row>
    <row r="41" spans="1:8" x14ac:dyDescent="0.25">
      <c r="A41" s="20">
        <v>7</v>
      </c>
      <c r="B41" s="21" t="s">
        <v>407</v>
      </c>
      <c r="C41" s="21" t="s">
        <v>375</v>
      </c>
      <c r="D41" s="23" t="s">
        <v>141</v>
      </c>
      <c r="E41" s="20" t="s">
        <v>141</v>
      </c>
      <c r="F41" s="24" t="s">
        <v>20</v>
      </c>
      <c r="G41" s="21"/>
      <c r="H41" s="21"/>
    </row>
    <row r="42" spans="1:8" x14ac:dyDescent="0.25">
      <c r="A42" s="20">
        <v>7</v>
      </c>
      <c r="B42" s="21" t="s">
        <v>408</v>
      </c>
      <c r="C42" s="21" t="s">
        <v>375</v>
      </c>
      <c r="D42" s="23" t="s">
        <v>141</v>
      </c>
      <c r="E42" s="20" t="s">
        <v>141</v>
      </c>
      <c r="F42" s="24" t="s">
        <v>20</v>
      </c>
      <c r="G42" s="21"/>
      <c r="H42" s="21"/>
    </row>
    <row r="43" spans="1:8" x14ac:dyDescent="0.25">
      <c r="A43" s="20">
        <v>7</v>
      </c>
      <c r="B43" s="21" t="s">
        <v>409</v>
      </c>
      <c r="C43" s="21" t="s">
        <v>278</v>
      </c>
      <c r="D43" s="23" t="s">
        <v>141</v>
      </c>
      <c r="E43" s="20" t="s">
        <v>141</v>
      </c>
      <c r="F43" s="24" t="s">
        <v>20</v>
      </c>
      <c r="G43" s="21"/>
      <c r="H43" s="21"/>
    </row>
    <row r="44" spans="1:8" x14ac:dyDescent="0.25">
      <c r="A44" s="20">
        <v>7</v>
      </c>
      <c r="B44" s="21" t="s">
        <v>410</v>
      </c>
      <c r="C44" s="21" t="s">
        <v>175</v>
      </c>
      <c r="D44" s="23" t="s">
        <v>141</v>
      </c>
      <c r="E44" s="20" t="s">
        <v>141</v>
      </c>
      <c r="F44" s="24" t="s">
        <v>20</v>
      </c>
      <c r="G44" s="21"/>
      <c r="H44" s="21"/>
    </row>
    <row r="45" spans="1:8" ht="25.5" x14ac:dyDescent="0.25">
      <c r="A45" s="20">
        <v>7</v>
      </c>
      <c r="B45" s="21" t="s">
        <v>255</v>
      </c>
      <c r="C45" s="21" t="s">
        <v>243</v>
      </c>
      <c r="D45" s="23" t="s">
        <v>141</v>
      </c>
      <c r="E45" s="20" t="s">
        <v>141</v>
      </c>
      <c r="F45" s="24" t="s">
        <v>20</v>
      </c>
      <c r="G45" s="21" t="s">
        <v>244</v>
      </c>
      <c r="H45" s="21"/>
    </row>
    <row r="46" spans="1:8" x14ac:dyDescent="0.25">
      <c r="A46" s="20">
        <v>8</v>
      </c>
      <c r="B46" s="21" t="s">
        <v>411</v>
      </c>
      <c r="C46" s="21" t="s">
        <v>380</v>
      </c>
      <c r="D46" s="23" t="s">
        <v>141</v>
      </c>
      <c r="E46" s="20" t="s">
        <v>141</v>
      </c>
      <c r="F46" s="24" t="s">
        <v>20</v>
      </c>
      <c r="G46" s="21" t="s">
        <v>286</v>
      </c>
      <c r="H46" s="21"/>
    </row>
    <row r="47" spans="1:8" ht="25.5" x14ac:dyDescent="0.25">
      <c r="A47" s="20">
        <v>8</v>
      </c>
      <c r="B47" s="21" t="s">
        <v>412</v>
      </c>
      <c r="C47" s="21" t="s">
        <v>291</v>
      </c>
      <c r="D47" s="23" t="s">
        <v>141</v>
      </c>
      <c r="E47" s="20" t="s">
        <v>141</v>
      </c>
      <c r="F47" s="24" t="s">
        <v>20</v>
      </c>
      <c r="G47" s="21" t="s">
        <v>292</v>
      </c>
      <c r="H47" s="21"/>
    </row>
    <row r="48" spans="1:8" x14ac:dyDescent="0.25">
      <c r="A48" s="20">
        <v>8</v>
      </c>
      <c r="B48" s="21" t="s">
        <v>413</v>
      </c>
      <c r="C48" s="21" t="s">
        <v>285</v>
      </c>
      <c r="D48" s="23" t="s">
        <v>141</v>
      </c>
      <c r="E48" s="20" t="s">
        <v>141</v>
      </c>
      <c r="F48" s="24" t="s">
        <v>20</v>
      </c>
      <c r="G48" s="21" t="s">
        <v>286</v>
      </c>
      <c r="H48" s="21"/>
    </row>
    <row r="49" spans="1:8" ht="25.5" x14ac:dyDescent="0.25">
      <c r="A49" s="20">
        <v>8</v>
      </c>
      <c r="B49" s="21" t="s">
        <v>414</v>
      </c>
      <c r="C49" s="21" t="s">
        <v>240</v>
      </c>
      <c r="D49" s="23" t="s">
        <v>141</v>
      </c>
      <c r="E49" s="20" t="s">
        <v>141</v>
      </c>
      <c r="F49" s="24" t="s">
        <v>20</v>
      </c>
      <c r="G49" s="21" t="s">
        <v>241</v>
      </c>
      <c r="H49" s="21"/>
    </row>
    <row r="50" spans="1:8" x14ac:dyDescent="0.25">
      <c r="A50" s="20">
        <v>8</v>
      </c>
      <c r="B50" s="21" t="s">
        <v>415</v>
      </c>
      <c r="C50" s="21" t="s">
        <v>375</v>
      </c>
      <c r="D50" s="23" t="s">
        <v>141</v>
      </c>
      <c r="E50" s="20" t="s">
        <v>141</v>
      </c>
      <c r="F50" s="24" t="s">
        <v>20</v>
      </c>
      <c r="G50" s="21" t="s">
        <v>405</v>
      </c>
      <c r="H50" s="21"/>
    </row>
    <row r="51" spans="1:8" x14ac:dyDescent="0.25">
      <c r="A51" s="20">
        <v>8</v>
      </c>
      <c r="B51" s="21" t="s">
        <v>416</v>
      </c>
      <c r="C51" s="21" t="s">
        <v>375</v>
      </c>
      <c r="D51" s="19" t="s">
        <v>81</v>
      </c>
      <c r="E51" s="20" t="s">
        <v>53</v>
      </c>
      <c r="F51" s="26" t="s">
        <v>6</v>
      </c>
      <c r="G51" s="21"/>
      <c r="H51" s="21"/>
    </row>
    <row r="52" spans="1:8" ht="25.5" x14ac:dyDescent="0.25">
      <c r="A52" s="20">
        <v>8</v>
      </c>
      <c r="B52" s="21" t="s">
        <v>259</v>
      </c>
      <c r="C52" s="21" t="s">
        <v>243</v>
      </c>
      <c r="D52" s="23" t="s">
        <v>141</v>
      </c>
      <c r="E52" s="20" t="s">
        <v>141</v>
      </c>
      <c r="F52" s="24" t="s">
        <v>20</v>
      </c>
      <c r="G52" s="21" t="s">
        <v>244</v>
      </c>
      <c r="H52" s="21"/>
    </row>
    <row r="53" spans="1:8" x14ac:dyDescent="0.25">
      <c r="A53" s="20">
        <v>8</v>
      </c>
      <c r="B53" s="21" t="s">
        <v>417</v>
      </c>
      <c r="C53" s="21" t="s">
        <v>257</v>
      </c>
      <c r="D53" s="23" t="s">
        <v>141</v>
      </c>
      <c r="E53" s="20" t="s">
        <v>141</v>
      </c>
      <c r="F53" s="24" t="s">
        <v>20</v>
      </c>
      <c r="G53" s="21" t="s">
        <v>258</v>
      </c>
      <c r="H53" s="21"/>
    </row>
    <row r="54" spans="1:8" x14ac:dyDescent="0.25">
      <c r="A54" s="20">
        <v>9</v>
      </c>
      <c r="B54" s="21" t="s">
        <v>418</v>
      </c>
      <c r="C54" s="21" t="s">
        <v>257</v>
      </c>
      <c r="D54" s="23" t="s">
        <v>141</v>
      </c>
      <c r="E54" s="20" t="s">
        <v>141</v>
      </c>
      <c r="F54" s="24" t="s">
        <v>20</v>
      </c>
      <c r="G54" s="21" t="s">
        <v>258</v>
      </c>
      <c r="H54" s="2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2"/>
  <sheetViews>
    <sheetView showGridLines="0" workbookViewId="0">
      <pane ySplit="2" topLeftCell="A3" activePane="bottomLeft" state="frozen"/>
      <selection pane="bottomLeft" activeCell="D31" sqref="D31"/>
    </sheetView>
  </sheetViews>
  <sheetFormatPr baseColWidth="10" defaultColWidth="9.140625" defaultRowHeight="15" x14ac:dyDescent="0.25"/>
  <cols>
    <col min="1" max="1" width="10" customWidth="1"/>
    <col min="2" max="2" width="58" customWidth="1"/>
    <col min="3" max="3" width="26" customWidth="1"/>
    <col min="4" max="4" width="30" customWidth="1"/>
    <col min="5" max="5" width="12" customWidth="1"/>
    <col min="6" max="6" width="16" customWidth="1"/>
    <col min="7" max="7" width="46" customWidth="1"/>
    <col min="8" max="8" width="26" customWidth="1"/>
  </cols>
  <sheetData>
    <row r="1" spans="1:8" ht="16.5" x14ac:dyDescent="0.25">
      <c r="A1" s="22" t="s">
        <v>419</v>
      </c>
    </row>
    <row r="2" spans="1:8" ht="30" customHeight="1" x14ac:dyDescent="0.25">
      <c r="A2" s="4" t="s">
        <v>132</v>
      </c>
      <c r="B2" s="4" t="s">
        <v>133</v>
      </c>
      <c r="C2" s="4" t="s">
        <v>134</v>
      </c>
      <c r="D2" s="4" t="s">
        <v>135</v>
      </c>
      <c r="E2" s="4" t="s">
        <v>136</v>
      </c>
      <c r="F2" s="4" t="s">
        <v>137</v>
      </c>
      <c r="G2" s="4" t="s">
        <v>138</v>
      </c>
      <c r="H2" s="4" t="s">
        <v>139</v>
      </c>
    </row>
    <row r="3" spans="1:8" ht="25.5" x14ac:dyDescent="0.25">
      <c r="A3" s="20">
        <v>1</v>
      </c>
      <c r="B3" s="21" t="s">
        <v>420</v>
      </c>
      <c r="C3" s="21" t="s">
        <v>13</v>
      </c>
      <c r="D3" s="23" t="s">
        <v>141</v>
      </c>
      <c r="E3" s="20" t="s">
        <v>141</v>
      </c>
      <c r="F3" s="24" t="s">
        <v>20</v>
      </c>
      <c r="G3" s="21" t="s">
        <v>142</v>
      </c>
      <c r="H3" s="21"/>
    </row>
    <row r="4" spans="1:8" ht="25.5" x14ac:dyDescent="0.25">
      <c r="A4" s="20">
        <v>1</v>
      </c>
      <c r="B4" s="21" t="s">
        <v>421</v>
      </c>
      <c r="C4" s="21" t="s">
        <v>422</v>
      </c>
      <c r="D4" s="23" t="s">
        <v>141</v>
      </c>
      <c r="E4" s="20" t="s">
        <v>141</v>
      </c>
      <c r="F4" s="24" t="s">
        <v>20</v>
      </c>
      <c r="G4" s="21" t="s">
        <v>161</v>
      </c>
      <c r="H4" s="21"/>
    </row>
    <row r="5" spans="1:8" ht="25.5" x14ac:dyDescent="0.25">
      <c r="A5" s="20">
        <v>1</v>
      </c>
      <c r="B5" s="21" t="s">
        <v>423</v>
      </c>
      <c r="C5" s="21" t="s">
        <v>144</v>
      </c>
      <c r="D5" s="23" t="s">
        <v>141</v>
      </c>
      <c r="E5" s="20" t="s">
        <v>141</v>
      </c>
      <c r="F5" s="24" t="s">
        <v>20</v>
      </c>
      <c r="G5" s="21" t="s">
        <v>145</v>
      </c>
      <c r="H5" s="21"/>
    </row>
    <row r="6" spans="1:8" ht="25.5" x14ac:dyDescent="0.25">
      <c r="A6" s="20">
        <v>1</v>
      </c>
      <c r="B6" s="21" t="s">
        <v>424</v>
      </c>
      <c r="C6" s="21" t="s">
        <v>13</v>
      </c>
      <c r="D6" s="23" t="s">
        <v>141</v>
      </c>
      <c r="E6" s="20" t="s">
        <v>141</v>
      </c>
      <c r="F6" s="24" t="s">
        <v>20</v>
      </c>
      <c r="G6" s="21" t="s">
        <v>142</v>
      </c>
      <c r="H6" s="21"/>
    </row>
    <row r="7" spans="1:8" ht="25.5" x14ac:dyDescent="0.25">
      <c r="A7" s="20">
        <v>1</v>
      </c>
      <c r="B7" s="21" t="s">
        <v>425</v>
      </c>
      <c r="C7" s="21" t="s">
        <v>165</v>
      </c>
      <c r="D7" s="23" t="s">
        <v>141</v>
      </c>
      <c r="E7" s="20" t="s">
        <v>141</v>
      </c>
      <c r="F7" s="24" t="s">
        <v>20</v>
      </c>
      <c r="G7" s="21" t="s">
        <v>166</v>
      </c>
      <c r="H7" s="21"/>
    </row>
    <row r="8" spans="1:8" ht="25.5" x14ac:dyDescent="0.25">
      <c r="A8" s="20">
        <v>1</v>
      </c>
      <c r="B8" s="21" t="s">
        <v>178</v>
      </c>
      <c r="C8" s="21" t="s">
        <v>179</v>
      </c>
      <c r="D8" s="23" t="s">
        <v>141</v>
      </c>
      <c r="E8" s="20" t="s">
        <v>141</v>
      </c>
      <c r="F8" s="24" t="s">
        <v>20</v>
      </c>
      <c r="G8" s="21" t="s">
        <v>180</v>
      </c>
      <c r="H8" s="21"/>
    </row>
    <row r="9" spans="1:8" ht="25.5" x14ac:dyDescent="0.25">
      <c r="A9" s="20">
        <v>2</v>
      </c>
      <c r="B9" s="21" t="s">
        <v>426</v>
      </c>
      <c r="C9" s="21" t="s">
        <v>13</v>
      </c>
      <c r="D9" s="23" t="s">
        <v>141</v>
      </c>
      <c r="E9" s="20" t="s">
        <v>141</v>
      </c>
      <c r="F9" s="24" t="s">
        <v>20</v>
      </c>
      <c r="G9" s="21" t="s">
        <v>142</v>
      </c>
      <c r="H9" s="21"/>
    </row>
    <row r="10" spans="1:8" ht="25.5" x14ac:dyDescent="0.25">
      <c r="A10" s="20">
        <v>2</v>
      </c>
      <c r="B10" s="21" t="s">
        <v>427</v>
      </c>
      <c r="C10" s="21" t="s">
        <v>160</v>
      </c>
      <c r="D10" s="23" t="s">
        <v>141</v>
      </c>
      <c r="E10" s="20" t="s">
        <v>141</v>
      </c>
      <c r="F10" s="24" t="s">
        <v>20</v>
      </c>
      <c r="G10" s="21" t="s">
        <v>161</v>
      </c>
      <c r="H10" s="21"/>
    </row>
    <row r="11" spans="1:8" ht="25.5" x14ac:dyDescent="0.25">
      <c r="A11" s="20">
        <v>2</v>
      </c>
      <c r="B11" s="21" t="s">
        <v>428</v>
      </c>
      <c r="C11" s="21" t="s">
        <v>144</v>
      </c>
      <c r="D11" s="23" t="s">
        <v>141</v>
      </c>
      <c r="E11" s="20" t="s">
        <v>141</v>
      </c>
      <c r="F11" s="24" t="s">
        <v>20</v>
      </c>
      <c r="G11" s="21" t="s">
        <v>145</v>
      </c>
      <c r="H11" s="21"/>
    </row>
    <row r="12" spans="1:8" ht="25.5" x14ac:dyDescent="0.25">
      <c r="A12" s="20">
        <v>2</v>
      </c>
      <c r="B12" s="21" t="s">
        <v>157</v>
      </c>
      <c r="C12" s="21" t="s">
        <v>144</v>
      </c>
      <c r="D12" s="23" t="s">
        <v>141</v>
      </c>
      <c r="E12" s="20" t="s">
        <v>141</v>
      </c>
      <c r="F12" s="24" t="s">
        <v>20</v>
      </c>
      <c r="G12" s="21" t="s">
        <v>145</v>
      </c>
      <c r="H12" s="21"/>
    </row>
    <row r="13" spans="1:8" ht="25.5" x14ac:dyDescent="0.25">
      <c r="A13" s="20">
        <v>2</v>
      </c>
      <c r="B13" s="21" t="s">
        <v>192</v>
      </c>
      <c r="C13" s="21" t="s">
        <v>179</v>
      </c>
      <c r="D13" s="23" t="s">
        <v>141</v>
      </c>
      <c r="E13" s="20" t="s">
        <v>141</v>
      </c>
      <c r="F13" s="24" t="s">
        <v>20</v>
      </c>
      <c r="G13" s="21" t="s">
        <v>180</v>
      </c>
      <c r="H13" s="21"/>
    </row>
    <row r="14" spans="1:8" ht="25.5" x14ac:dyDescent="0.25">
      <c r="A14" s="20">
        <v>2</v>
      </c>
      <c r="B14" s="21" t="s">
        <v>429</v>
      </c>
      <c r="C14" s="21" t="s">
        <v>160</v>
      </c>
      <c r="D14" s="23" t="s">
        <v>141</v>
      </c>
      <c r="E14" s="20" t="s">
        <v>141</v>
      </c>
      <c r="F14" s="24" t="s">
        <v>20</v>
      </c>
      <c r="G14" s="21" t="s">
        <v>282</v>
      </c>
      <c r="H14" s="21"/>
    </row>
    <row r="15" spans="1:8" ht="25.5" x14ac:dyDescent="0.25">
      <c r="A15" s="20">
        <v>3</v>
      </c>
      <c r="B15" s="21" t="s">
        <v>430</v>
      </c>
      <c r="C15" s="21" t="s">
        <v>13</v>
      </c>
      <c r="D15" s="23" t="s">
        <v>141</v>
      </c>
      <c r="E15" s="20" t="s">
        <v>141</v>
      </c>
      <c r="F15" s="24" t="s">
        <v>20</v>
      </c>
      <c r="G15" s="21" t="s">
        <v>142</v>
      </c>
      <c r="H15" s="21"/>
    </row>
    <row r="16" spans="1:8" ht="25.5" x14ac:dyDescent="0.25">
      <c r="A16" s="20">
        <v>3</v>
      </c>
      <c r="B16" s="21" t="s">
        <v>431</v>
      </c>
      <c r="C16" s="21" t="s">
        <v>432</v>
      </c>
      <c r="D16" s="23" t="s">
        <v>141</v>
      </c>
      <c r="E16" s="20" t="s">
        <v>141</v>
      </c>
      <c r="F16" s="24" t="s">
        <v>20</v>
      </c>
      <c r="G16" s="21" t="s">
        <v>154</v>
      </c>
      <c r="H16" s="21"/>
    </row>
    <row r="17" spans="1:8" ht="25.5" x14ac:dyDescent="0.25">
      <c r="A17" s="20">
        <v>3</v>
      </c>
      <c r="B17" s="21" t="s">
        <v>433</v>
      </c>
      <c r="C17" s="21" t="s">
        <v>144</v>
      </c>
      <c r="D17" s="23" t="s">
        <v>141</v>
      </c>
      <c r="E17" s="20" t="s">
        <v>141</v>
      </c>
      <c r="F17" s="24" t="s">
        <v>20</v>
      </c>
      <c r="G17" s="21" t="s">
        <v>145</v>
      </c>
      <c r="H17" s="21"/>
    </row>
    <row r="18" spans="1:8" ht="25.5" x14ac:dyDescent="0.25">
      <c r="A18" s="20">
        <v>3</v>
      </c>
      <c r="B18" s="21" t="s">
        <v>383</v>
      </c>
      <c r="C18" s="21" t="s">
        <v>144</v>
      </c>
      <c r="D18" s="23" t="s">
        <v>141</v>
      </c>
      <c r="E18" s="20" t="s">
        <v>141</v>
      </c>
      <c r="F18" s="24" t="s">
        <v>20</v>
      </c>
      <c r="G18" s="21" t="s">
        <v>170</v>
      </c>
      <c r="H18" s="21"/>
    </row>
    <row r="19" spans="1:8" ht="25.5" x14ac:dyDescent="0.25">
      <c r="A19" s="20">
        <v>3</v>
      </c>
      <c r="B19" s="21" t="s">
        <v>434</v>
      </c>
      <c r="C19" s="21" t="s">
        <v>435</v>
      </c>
      <c r="D19" s="23" t="s">
        <v>141</v>
      </c>
      <c r="E19" s="20" t="s">
        <v>141</v>
      </c>
      <c r="F19" s="24" t="s">
        <v>20</v>
      </c>
      <c r="G19" s="21" t="s">
        <v>170</v>
      </c>
      <c r="H19" s="21"/>
    </row>
    <row r="20" spans="1:8" ht="25.5" x14ac:dyDescent="0.25">
      <c r="A20" s="20">
        <v>3</v>
      </c>
      <c r="B20" s="21" t="s">
        <v>204</v>
      </c>
      <c r="C20" s="21" t="s">
        <v>179</v>
      </c>
      <c r="D20" s="23" t="s">
        <v>141</v>
      </c>
      <c r="E20" s="20" t="s">
        <v>141</v>
      </c>
      <c r="F20" s="24" t="s">
        <v>20</v>
      </c>
      <c r="G20" s="21" t="s">
        <v>180</v>
      </c>
      <c r="H20" s="21"/>
    </row>
    <row r="21" spans="1:8" ht="25.5" x14ac:dyDescent="0.25">
      <c r="A21" s="20">
        <v>4</v>
      </c>
      <c r="B21" s="21" t="s">
        <v>436</v>
      </c>
      <c r="C21" s="21" t="s">
        <v>13</v>
      </c>
      <c r="D21" s="23" t="s">
        <v>141</v>
      </c>
      <c r="E21" s="20" t="s">
        <v>141</v>
      </c>
      <c r="F21" s="24" t="s">
        <v>20</v>
      </c>
      <c r="G21" s="21" t="s">
        <v>142</v>
      </c>
      <c r="H21" s="21"/>
    </row>
    <row r="22" spans="1:8" ht="25.5" x14ac:dyDescent="0.25">
      <c r="A22" s="20">
        <v>4</v>
      </c>
      <c r="B22" s="21" t="s">
        <v>437</v>
      </c>
      <c r="C22" s="21" t="s">
        <v>13</v>
      </c>
      <c r="D22" s="23" t="s">
        <v>141</v>
      </c>
      <c r="E22" s="20" t="s">
        <v>141</v>
      </c>
      <c r="F22" s="24" t="s">
        <v>20</v>
      </c>
      <c r="G22" s="21" t="s">
        <v>142</v>
      </c>
      <c r="H22" s="21"/>
    </row>
    <row r="23" spans="1:8" ht="25.5" x14ac:dyDescent="0.25">
      <c r="A23" s="20">
        <v>4</v>
      </c>
      <c r="B23" s="21" t="s">
        <v>438</v>
      </c>
      <c r="C23" s="21" t="s">
        <v>398</v>
      </c>
      <c r="D23" s="23" t="s">
        <v>141</v>
      </c>
      <c r="E23" s="20" t="s">
        <v>141</v>
      </c>
      <c r="F23" s="24" t="s">
        <v>20</v>
      </c>
      <c r="G23" s="21" t="s">
        <v>142</v>
      </c>
      <c r="H23" s="21"/>
    </row>
    <row r="24" spans="1:8" ht="25.5" x14ac:dyDescent="0.25">
      <c r="A24" s="20">
        <v>4</v>
      </c>
      <c r="B24" s="21" t="s">
        <v>389</v>
      </c>
      <c r="C24" s="21" t="s">
        <v>144</v>
      </c>
      <c r="D24" s="23" t="s">
        <v>141</v>
      </c>
      <c r="E24" s="20" t="s">
        <v>141</v>
      </c>
      <c r="F24" s="24" t="s">
        <v>20</v>
      </c>
      <c r="G24" s="21" t="s">
        <v>170</v>
      </c>
      <c r="H24" s="21"/>
    </row>
    <row r="25" spans="1:8" ht="25.5" x14ac:dyDescent="0.25">
      <c r="A25" s="20">
        <v>4</v>
      </c>
      <c r="B25" s="21" t="s">
        <v>215</v>
      </c>
      <c r="C25" s="21" t="s">
        <v>179</v>
      </c>
      <c r="D25" s="23" t="s">
        <v>141</v>
      </c>
      <c r="E25" s="20" t="s">
        <v>141</v>
      </c>
      <c r="F25" s="24" t="s">
        <v>20</v>
      </c>
      <c r="G25" s="21" t="s">
        <v>180</v>
      </c>
      <c r="H25" s="21"/>
    </row>
    <row r="26" spans="1:8" ht="25.5" x14ac:dyDescent="0.25">
      <c r="A26" s="20">
        <v>4</v>
      </c>
      <c r="B26" s="21" t="s">
        <v>439</v>
      </c>
      <c r="C26" s="21" t="s">
        <v>13</v>
      </c>
      <c r="D26" s="23" t="s">
        <v>141</v>
      </c>
      <c r="E26" s="20" t="s">
        <v>141</v>
      </c>
      <c r="F26" s="24" t="s">
        <v>20</v>
      </c>
      <c r="G26" s="21" t="s">
        <v>142</v>
      </c>
      <c r="H26" s="21"/>
    </row>
    <row r="27" spans="1:8" ht="25.5" x14ac:dyDescent="0.25">
      <c r="A27" s="20">
        <v>5</v>
      </c>
      <c r="B27" s="21" t="s">
        <v>440</v>
      </c>
      <c r="C27" s="21" t="s">
        <v>398</v>
      </c>
      <c r="D27" s="23" t="s">
        <v>141</v>
      </c>
      <c r="E27" s="20" t="s">
        <v>141</v>
      </c>
      <c r="F27" s="24" t="s">
        <v>20</v>
      </c>
      <c r="G27" s="21" t="s">
        <v>184</v>
      </c>
      <c r="H27" s="21"/>
    </row>
    <row r="28" spans="1:8" ht="25.5" x14ac:dyDescent="0.25">
      <c r="A28" s="20">
        <v>5</v>
      </c>
      <c r="B28" s="21" t="s">
        <v>441</v>
      </c>
      <c r="C28" s="21" t="s">
        <v>13</v>
      </c>
      <c r="D28" s="23" t="s">
        <v>141</v>
      </c>
      <c r="E28" s="20" t="s">
        <v>141</v>
      </c>
      <c r="F28" s="24" t="s">
        <v>20</v>
      </c>
      <c r="G28" s="21" t="s">
        <v>142</v>
      </c>
      <c r="H28" s="21"/>
    </row>
    <row r="29" spans="1:8" ht="25.5" x14ac:dyDescent="0.25">
      <c r="A29" s="20">
        <v>5</v>
      </c>
      <c r="B29" s="21" t="s">
        <v>442</v>
      </c>
      <c r="C29" s="21" t="s">
        <v>398</v>
      </c>
      <c r="D29" s="23" t="s">
        <v>141</v>
      </c>
      <c r="E29" s="20" t="s">
        <v>141</v>
      </c>
      <c r="F29" s="24" t="s">
        <v>20</v>
      </c>
      <c r="G29" s="21" t="s">
        <v>170</v>
      </c>
      <c r="H29" s="21"/>
    </row>
    <row r="30" spans="1:8" ht="25.5" x14ac:dyDescent="0.25">
      <c r="A30" s="20">
        <v>5</v>
      </c>
      <c r="B30" s="21" t="s">
        <v>443</v>
      </c>
      <c r="C30" s="21" t="s">
        <v>13</v>
      </c>
      <c r="D30" s="23" t="s">
        <v>141</v>
      </c>
      <c r="E30" s="20" t="s">
        <v>141</v>
      </c>
      <c r="F30" s="24" t="s">
        <v>20</v>
      </c>
      <c r="G30" s="21" t="s">
        <v>142</v>
      </c>
      <c r="H30" s="21"/>
    </row>
    <row r="31" spans="1:8" x14ac:dyDescent="0.25">
      <c r="A31" s="20">
        <v>5</v>
      </c>
      <c r="B31" s="21" t="s">
        <v>444</v>
      </c>
      <c r="C31" s="21" t="s">
        <v>202</v>
      </c>
      <c r="D31" s="19" t="s">
        <v>123</v>
      </c>
      <c r="E31" s="20" t="s">
        <v>47</v>
      </c>
      <c r="F31" s="26" t="s">
        <v>6</v>
      </c>
      <c r="G31" s="21" t="s">
        <v>445</v>
      </c>
      <c r="H31" s="21"/>
    </row>
    <row r="32" spans="1:8" ht="25.5" x14ac:dyDescent="0.25">
      <c r="A32" s="20">
        <v>5</v>
      </c>
      <c r="B32" s="21" t="s">
        <v>446</v>
      </c>
      <c r="C32" s="21" t="s">
        <v>168</v>
      </c>
      <c r="D32" s="23" t="s">
        <v>141</v>
      </c>
      <c r="E32" s="20" t="s">
        <v>141</v>
      </c>
      <c r="F32" s="24" t="s">
        <v>20</v>
      </c>
      <c r="G32" s="21" t="s">
        <v>161</v>
      </c>
      <c r="H32" s="21"/>
    </row>
    <row r="33" spans="1:8" ht="25.5" x14ac:dyDescent="0.25">
      <c r="A33" s="20">
        <v>6</v>
      </c>
      <c r="B33" s="21" t="s">
        <v>447</v>
      </c>
      <c r="C33" s="21" t="s">
        <v>448</v>
      </c>
      <c r="D33" s="19" t="s">
        <v>84</v>
      </c>
      <c r="E33" s="20" t="s">
        <v>47</v>
      </c>
      <c r="F33" s="26" t="s">
        <v>6</v>
      </c>
      <c r="G33" s="21" t="s">
        <v>230</v>
      </c>
      <c r="H33" s="21"/>
    </row>
    <row r="34" spans="1:8" ht="25.5" x14ac:dyDescent="0.25">
      <c r="A34" s="20">
        <v>6</v>
      </c>
      <c r="B34" s="21" t="s">
        <v>449</v>
      </c>
      <c r="C34" s="21" t="s">
        <v>13</v>
      </c>
      <c r="D34" s="23" t="s">
        <v>141</v>
      </c>
      <c r="E34" s="20" t="s">
        <v>141</v>
      </c>
      <c r="F34" s="24" t="s">
        <v>20</v>
      </c>
      <c r="G34" s="21" t="s">
        <v>142</v>
      </c>
      <c r="H34" s="21"/>
    </row>
    <row r="35" spans="1:8" ht="25.5" x14ac:dyDescent="0.25">
      <c r="A35" s="20">
        <v>6</v>
      </c>
      <c r="B35" s="21" t="s">
        <v>450</v>
      </c>
      <c r="C35" s="21" t="s">
        <v>398</v>
      </c>
      <c r="D35" s="23" t="s">
        <v>141</v>
      </c>
      <c r="E35" s="20" t="s">
        <v>141</v>
      </c>
      <c r="F35" s="24" t="s">
        <v>20</v>
      </c>
      <c r="G35" s="21" t="s">
        <v>170</v>
      </c>
      <c r="H35" s="21"/>
    </row>
    <row r="36" spans="1:8" ht="25.5" x14ac:dyDescent="0.25">
      <c r="A36" s="20">
        <v>6</v>
      </c>
      <c r="B36" s="21" t="s">
        <v>451</v>
      </c>
      <c r="C36" s="21" t="s">
        <v>13</v>
      </c>
      <c r="D36" s="23" t="s">
        <v>141</v>
      </c>
      <c r="E36" s="20" t="s">
        <v>141</v>
      </c>
      <c r="F36" s="24" t="s">
        <v>20</v>
      </c>
      <c r="G36" s="21" t="s">
        <v>142</v>
      </c>
      <c r="H36" s="21"/>
    </row>
    <row r="37" spans="1:8" ht="25.5" x14ac:dyDescent="0.25">
      <c r="A37" s="20">
        <v>6</v>
      </c>
      <c r="B37" s="21" t="s">
        <v>452</v>
      </c>
      <c r="C37" s="21" t="s">
        <v>13</v>
      </c>
      <c r="D37" s="23" t="s">
        <v>141</v>
      </c>
      <c r="E37" s="20" t="s">
        <v>141</v>
      </c>
      <c r="F37" s="24" t="s">
        <v>20</v>
      </c>
      <c r="G37" s="21" t="s">
        <v>142</v>
      </c>
      <c r="H37" s="21"/>
    </row>
    <row r="38" spans="1:8" ht="25.5" x14ac:dyDescent="0.25">
      <c r="A38" s="20">
        <v>6</v>
      </c>
      <c r="B38" s="21" t="s">
        <v>453</v>
      </c>
      <c r="C38" s="21" t="s">
        <v>153</v>
      </c>
      <c r="D38" s="23" t="s">
        <v>141</v>
      </c>
      <c r="E38" s="20" t="s">
        <v>141</v>
      </c>
      <c r="F38" s="24" t="s">
        <v>20</v>
      </c>
      <c r="G38" s="21" t="s">
        <v>154</v>
      </c>
      <c r="H38" s="21"/>
    </row>
    <row r="39" spans="1:8" ht="25.5" x14ac:dyDescent="0.25">
      <c r="A39" s="20">
        <v>7</v>
      </c>
      <c r="B39" s="21" t="s">
        <v>454</v>
      </c>
      <c r="C39" s="21" t="s">
        <v>13</v>
      </c>
      <c r="D39" s="23" t="s">
        <v>141</v>
      </c>
      <c r="E39" s="20" t="s">
        <v>141</v>
      </c>
      <c r="F39" s="24" t="s">
        <v>20</v>
      </c>
      <c r="G39" s="21" t="s">
        <v>142</v>
      </c>
      <c r="H39" s="21"/>
    </row>
    <row r="40" spans="1:8" ht="25.5" x14ac:dyDescent="0.25">
      <c r="A40" s="20">
        <v>7</v>
      </c>
      <c r="B40" s="21" t="s">
        <v>455</v>
      </c>
      <c r="C40" s="21" t="s">
        <v>456</v>
      </c>
      <c r="D40" s="23" t="s">
        <v>141</v>
      </c>
      <c r="E40" s="20" t="s">
        <v>141</v>
      </c>
      <c r="F40" s="24" t="s">
        <v>20</v>
      </c>
      <c r="G40" s="21" t="s">
        <v>254</v>
      </c>
      <c r="H40" s="21"/>
    </row>
    <row r="41" spans="1:8" ht="25.5" x14ac:dyDescent="0.25">
      <c r="A41" s="20">
        <v>7</v>
      </c>
      <c r="B41" s="21" t="s">
        <v>457</v>
      </c>
      <c r="C41" s="21" t="s">
        <v>356</v>
      </c>
      <c r="D41" s="19" t="s">
        <v>103</v>
      </c>
      <c r="E41" s="20" t="s">
        <v>53</v>
      </c>
      <c r="F41" s="26" t="s">
        <v>6</v>
      </c>
      <c r="G41" s="21" t="s">
        <v>142</v>
      </c>
      <c r="H41" s="21"/>
    </row>
    <row r="42" spans="1:8" ht="25.5" x14ac:dyDescent="0.25">
      <c r="A42" s="20">
        <v>7</v>
      </c>
      <c r="B42" s="21" t="s">
        <v>458</v>
      </c>
      <c r="C42" s="21" t="s">
        <v>257</v>
      </c>
      <c r="D42" s="23" t="s">
        <v>141</v>
      </c>
      <c r="E42" s="20" t="s">
        <v>141</v>
      </c>
      <c r="F42" s="24" t="s">
        <v>20</v>
      </c>
      <c r="G42" s="21" t="s">
        <v>254</v>
      </c>
      <c r="H42" s="21"/>
    </row>
    <row r="43" spans="1:8" ht="25.5" x14ac:dyDescent="0.25">
      <c r="A43" s="20">
        <v>7</v>
      </c>
      <c r="B43" s="21" t="s">
        <v>459</v>
      </c>
      <c r="C43" s="21" t="s">
        <v>165</v>
      </c>
      <c r="D43" s="23" t="s">
        <v>141</v>
      </c>
      <c r="E43" s="20" t="s">
        <v>141</v>
      </c>
      <c r="F43" s="24" t="s">
        <v>20</v>
      </c>
      <c r="G43" s="21" t="s">
        <v>166</v>
      </c>
      <c r="H43" s="21"/>
    </row>
    <row r="44" spans="1:8" ht="25.5" x14ac:dyDescent="0.25">
      <c r="A44" s="20">
        <v>7</v>
      </c>
      <c r="B44" s="21" t="s">
        <v>242</v>
      </c>
      <c r="C44" s="21" t="s">
        <v>243</v>
      </c>
      <c r="D44" s="23" t="s">
        <v>141</v>
      </c>
      <c r="E44" s="20" t="s">
        <v>141</v>
      </c>
      <c r="F44" s="24" t="s">
        <v>20</v>
      </c>
      <c r="G44" s="21" t="s">
        <v>244</v>
      </c>
      <c r="H44" s="21"/>
    </row>
    <row r="45" spans="1:8" x14ac:dyDescent="0.25">
      <c r="A45" s="20">
        <v>8</v>
      </c>
      <c r="B45" s="21" t="s">
        <v>417</v>
      </c>
      <c r="C45" s="21" t="s">
        <v>257</v>
      </c>
      <c r="D45" s="23" t="s">
        <v>141</v>
      </c>
      <c r="E45" s="20" t="s">
        <v>141</v>
      </c>
      <c r="F45" s="24" t="s">
        <v>20</v>
      </c>
      <c r="G45" s="21" t="s">
        <v>258</v>
      </c>
      <c r="H45" s="21"/>
    </row>
    <row r="46" spans="1:8" ht="25.5" x14ac:dyDescent="0.25">
      <c r="A46" s="20">
        <v>8</v>
      </c>
      <c r="B46" s="21" t="s">
        <v>460</v>
      </c>
      <c r="C46" s="21" t="s">
        <v>13</v>
      </c>
      <c r="D46" s="23" t="s">
        <v>141</v>
      </c>
      <c r="E46" s="20" t="s">
        <v>141</v>
      </c>
      <c r="F46" s="24" t="s">
        <v>20</v>
      </c>
      <c r="G46" s="21" t="s">
        <v>142</v>
      </c>
      <c r="H46" s="21"/>
    </row>
    <row r="47" spans="1:8" ht="25.5" x14ac:dyDescent="0.25">
      <c r="A47" s="20">
        <v>8</v>
      </c>
      <c r="B47" s="21" t="s">
        <v>461</v>
      </c>
      <c r="C47" s="21" t="s">
        <v>462</v>
      </c>
      <c r="D47" s="23" t="s">
        <v>141</v>
      </c>
      <c r="E47" s="20" t="s">
        <v>141</v>
      </c>
      <c r="F47" s="24" t="s">
        <v>20</v>
      </c>
      <c r="G47" s="21" t="s">
        <v>142</v>
      </c>
      <c r="H47" s="21"/>
    </row>
    <row r="48" spans="1:8" ht="25.5" x14ac:dyDescent="0.25">
      <c r="A48" s="20">
        <v>8</v>
      </c>
      <c r="B48" s="21" t="s">
        <v>463</v>
      </c>
      <c r="C48" s="21" t="s">
        <v>160</v>
      </c>
      <c r="D48" s="23" t="s">
        <v>141</v>
      </c>
      <c r="E48" s="20" t="s">
        <v>141</v>
      </c>
      <c r="F48" s="24" t="s">
        <v>20</v>
      </c>
      <c r="G48" s="21" t="s">
        <v>161</v>
      </c>
      <c r="H48" s="21"/>
    </row>
    <row r="49" spans="1:8" ht="25.5" x14ac:dyDescent="0.25">
      <c r="A49" s="20">
        <v>8</v>
      </c>
      <c r="B49" s="21" t="s">
        <v>251</v>
      </c>
      <c r="C49" s="21" t="s">
        <v>243</v>
      </c>
      <c r="D49" s="23" t="s">
        <v>141</v>
      </c>
      <c r="E49" s="20" t="s">
        <v>141</v>
      </c>
      <c r="F49" s="24" t="s">
        <v>20</v>
      </c>
      <c r="G49" s="21" t="s">
        <v>244</v>
      </c>
      <c r="H49" s="21"/>
    </row>
    <row r="50" spans="1:8" x14ac:dyDescent="0.25">
      <c r="A50" s="20">
        <v>9</v>
      </c>
      <c r="B50" s="21" t="s">
        <v>418</v>
      </c>
      <c r="C50" s="21" t="s">
        <v>257</v>
      </c>
      <c r="D50" s="23" t="s">
        <v>141</v>
      </c>
      <c r="E50" s="20" t="s">
        <v>141</v>
      </c>
      <c r="F50" s="24" t="s">
        <v>20</v>
      </c>
      <c r="G50" s="21" t="s">
        <v>258</v>
      </c>
      <c r="H50" s="21"/>
    </row>
    <row r="51" spans="1:8" ht="25.5" x14ac:dyDescent="0.25">
      <c r="A51" s="20">
        <v>9</v>
      </c>
      <c r="B51" s="21" t="s">
        <v>255</v>
      </c>
      <c r="C51" s="21" t="s">
        <v>243</v>
      </c>
      <c r="D51" s="23" t="s">
        <v>141</v>
      </c>
      <c r="E51" s="20" t="s">
        <v>141</v>
      </c>
      <c r="F51" s="24" t="s">
        <v>20</v>
      </c>
      <c r="G51" s="21" t="s">
        <v>244</v>
      </c>
      <c r="H51" s="21"/>
    </row>
    <row r="52" spans="1:8" ht="25.5" x14ac:dyDescent="0.25">
      <c r="A52" s="20">
        <v>9</v>
      </c>
      <c r="B52" s="21" t="s">
        <v>259</v>
      </c>
      <c r="C52" s="21" t="s">
        <v>243</v>
      </c>
      <c r="D52" s="23" t="s">
        <v>141</v>
      </c>
      <c r="E52" s="20" t="s">
        <v>141</v>
      </c>
      <c r="F52" s="24" t="s">
        <v>20</v>
      </c>
      <c r="G52" s="21" t="s">
        <v>244</v>
      </c>
      <c r="H52" s="2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8"/>
  <sheetViews>
    <sheetView showGridLines="0" workbookViewId="0">
      <pane ySplit="2" topLeftCell="A51" activePane="bottomLeft" state="frozen"/>
      <selection pane="bottomLeft" activeCell="D58" sqref="B58:D58"/>
    </sheetView>
  </sheetViews>
  <sheetFormatPr baseColWidth="10" defaultColWidth="9.140625" defaultRowHeight="15" x14ac:dyDescent="0.25"/>
  <cols>
    <col min="1" max="1" width="10" customWidth="1"/>
    <col min="2" max="2" width="58" customWidth="1"/>
    <col min="3" max="3" width="26" customWidth="1"/>
    <col min="4" max="4" width="30" customWidth="1"/>
    <col min="5" max="5" width="12" customWidth="1"/>
    <col min="6" max="6" width="16" customWidth="1"/>
    <col min="7" max="7" width="46" customWidth="1"/>
    <col min="8" max="8" width="26" customWidth="1"/>
  </cols>
  <sheetData>
    <row r="1" spans="1:8" ht="16.5" x14ac:dyDescent="0.25">
      <c r="A1" s="22" t="s">
        <v>464</v>
      </c>
    </row>
    <row r="2" spans="1:8" ht="30" customHeight="1" x14ac:dyDescent="0.25">
      <c r="A2" s="4" t="s">
        <v>132</v>
      </c>
      <c r="B2" s="4" t="s">
        <v>133</v>
      </c>
      <c r="C2" s="4" t="s">
        <v>134</v>
      </c>
      <c r="D2" s="4" t="s">
        <v>135</v>
      </c>
      <c r="E2" s="4" t="s">
        <v>136</v>
      </c>
      <c r="F2" s="4" t="s">
        <v>137</v>
      </c>
      <c r="G2" s="4" t="s">
        <v>138</v>
      </c>
      <c r="H2" s="4" t="s">
        <v>139</v>
      </c>
    </row>
    <row r="3" spans="1:8" ht="25.5" x14ac:dyDescent="0.25">
      <c r="A3" s="20">
        <v>1</v>
      </c>
      <c r="B3" s="21" t="s">
        <v>465</v>
      </c>
      <c r="C3" s="21" t="s">
        <v>466</v>
      </c>
      <c r="D3" s="23" t="s">
        <v>141</v>
      </c>
      <c r="E3" s="20" t="s">
        <v>141</v>
      </c>
      <c r="F3" s="24" t="s">
        <v>20</v>
      </c>
      <c r="G3" s="21" t="s">
        <v>467</v>
      </c>
      <c r="H3" s="21"/>
    </row>
    <row r="4" spans="1:8" x14ac:dyDescent="0.25">
      <c r="A4" s="20">
        <v>1</v>
      </c>
      <c r="B4" s="21" t="s">
        <v>468</v>
      </c>
      <c r="C4" s="21" t="s">
        <v>83</v>
      </c>
      <c r="D4" s="23" t="s">
        <v>141</v>
      </c>
      <c r="E4" s="20" t="s">
        <v>141</v>
      </c>
      <c r="F4" s="24" t="s">
        <v>20</v>
      </c>
      <c r="G4" s="21"/>
      <c r="H4" s="21"/>
    </row>
    <row r="5" spans="1:8" x14ac:dyDescent="0.25">
      <c r="A5" s="20">
        <v>1</v>
      </c>
      <c r="B5" s="21" t="s">
        <v>469</v>
      </c>
      <c r="C5" s="21" t="s">
        <v>83</v>
      </c>
      <c r="D5" s="23" t="s">
        <v>141</v>
      </c>
      <c r="E5" s="20" t="s">
        <v>141</v>
      </c>
      <c r="F5" s="24" t="s">
        <v>20</v>
      </c>
      <c r="G5" s="21"/>
      <c r="H5" s="21"/>
    </row>
    <row r="6" spans="1:8" ht="25.5" x14ac:dyDescent="0.25">
      <c r="A6" s="20">
        <v>1</v>
      </c>
      <c r="B6" s="21" t="s">
        <v>159</v>
      </c>
      <c r="C6" s="21" t="s">
        <v>160</v>
      </c>
      <c r="D6" s="23" t="s">
        <v>141</v>
      </c>
      <c r="E6" s="20" t="s">
        <v>141</v>
      </c>
      <c r="F6" s="24" t="s">
        <v>20</v>
      </c>
      <c r="G6" s="21" t="s">
        <v>161</v>
      </c>
      <c r="H6" s="21"/>
    </row>
    <row r="7" spans="1:8" ht="25.5" x14ac:dyDescent="0.25">
      <c r="A7" s="20">
        <v>1</v>
      </c>
      <c r="B7" s="21" t="s">
        <v>429</v>
      </c>
      <c r="C7" s="21" t="s">
        <v>160</v>
      </c>
      <c r="D7" s="23" t="s">
        <v>141</v>
      </c>
      <c r="E7" s="20" t="s">
        <v>141</v>
      </c>
      <c r="F7" s="24" t="s">
        <v>20</v>
      </c>
      <c r="G7" s="21" t="s">
        <v>282</v>
      </c>
      <c r="H7" s="21"/>
    </row>
    <row r="8" spans="1:8" ht="25.5" x14ac:dyDescent="0.25">
      <c r="A8" s="20">
        <v>1</v>
      </c>
      <c r="B8" s="21" t="s">
        <v>140</v>
      </c>
      <c r="C8" s="21" t="s">
        <v>13</v>
      </c>
      <c r="D8" s="23" t="s">
        <v>141</v>
      </c>
      <c r="E8" s="20" t="s">
        <v>141</v>
      </c>
      <c r="F8" s="24" t="s">
        <v>20</v>
      </c>
      <c r="G8" s="21" t="s">
        <v>142</v>
      </c>
      <c r="H8" s="21"/>
    </row>
    <row r="9" spans="1:8" ht="25.5" x14ac:dyDescent="0.25">
      <c r="A9" s="20">
        <v>1</v>
      </c>
      <c r="B9" s="21" t="s">
        <v>143</v>
      </c>
      <c r="C9" s="21" t="s">
        <v>144</v>
      </c>
      <c r="D9" s="23" t="s">
        <v>141</v>
      </c>
      <c r="E9" s="20" t="s">
        <v>141</v>
      </c>
      <c r="F9" s="24" t="s">
        <v>20</v>
      </c>
      <c r="G9" s="21" t="s">
        <v>145</v>
      </c>
      <c r="H9" s="21"/>
    </row>
    <row r="10" spans="1:8" x14ac:dyDescent="0.25">
      <c r="A10" s="20">
        <v>2</v>
      </c>
      <c r="B10" s="21" t="s">
        <v>470</v>
      </c>
      <c r="C10" s="21" t="s">
        <v>210</v>
      </c>
      <c r="D10" s="23" t="s">
        <v>141</v>
      </c>
      <c r="E10" s="20" t="s">
        <v>141</v>
      </c>
      <c r="F10" s="24" t="s">
        <v>20</v>
      </c>
      <c r="G10" s="21" t="s">
        <v>211</v>
      </c>
      <c r="H10" s="21"/>
    </row>
    <row r="11" spans="1:8" x14ac:dyDescent="0.25">
      <c r="A11" s="20">
        <v>2</v>
      </c>
      <c r="B11" s="21" t="s">
        <v>471</v>
      </c>
      <c r="C11" s="21" t="s">
        <v>187</v>
      </c>
      <c r="D11" s="23" t="s">
        <v>141</v>
      </c>
      <c r="E11" s="20" t="s">
        <v>141</v>
      </c>
      <c r="F11" s="24" t="s">
        <v>20</v>
      </c>
      <c r="G11" s="21"/>
      <c r="H11" s="21"/>
    </row>
    <row r="12" spans="1:8" ht="25.5" x14ac:dyDescent="0.25">
      <c r="A12" s="20">
        <v>2</v>
      </c>
      <c r="B12" s="21" t="s">
        <v>472</v>
      </c>
      <c r="C12" s="21" t="s">
        <v>473</v>
      </c>
      <c r="D12" s="23" t="s">
        <v>141</v>
      </c>
      <c r="E12" s="20" t="s">
        <v>141</v>
      </c>
      <c r="F12" s="24" t="s">
        <v>20</v>
      </c>
      <c r="G12" s="21" t="s">
        <v>292</v>
      </c>
      <c r="H12" s="21"/>
    </row>
    <row r="13" spans="1:8" ht="25.5" x14ac:dyDescent="0.25">
      <c r="A13" s="20">
        <v>2</v>
      </c>
      <c r="B13" s="21" t="s">
        <v>474</v>
      </c>
      <c r="C13" s="21" t="s">
        <v>153</v>
      </c>
      <c r="D13" s="23" t="s">
        <v>141</v>
      </c>
      <c r="E13" s="20" t="s">
        <v>141</v>
      </c>
      <c r="F13" s="24" t="s">
        <v>20</v>
      </c>
      <c r="G13" s="21" t="s">
        <v>154</v>
      </c>
      <c r="H13" s="21"/>
    </row>
    <row r="14" spans="1:8" x14ac:dyDescent="0.25">
      <c r="A14" s="20">
        <v>2</v>
      </c>
      <c r="B14" s="21" t="s">
        <v>475</v>
      </c>
      <c r="C14" s="21" t="s">
        <v>199</v>
      </c>
      <c r="D14" s="23" t="s">
        <v>141</v>
      </c>
      <c r="E14" s="20" t="s">
        <v>141</v>
      </c>
      <c r="F14" s="24" t="s">
        <v>20</v>
      </c>
      <c r="G14" s="21" t="s">
        <v>200</v>
      </c>
      <c r="H14" s="21"/>
    </row>
    <row r="15" spans="1:8" ht="25.5" x14ac:dyDescent="0.25">
      <c r="A15" s="20">
        <v>2</v>
      </c>
      <c r="B15" s="21" t="s">
        <v>476</v>
      </c>
      <c r="C15" s="21" t="s">
        <v>144</v>
      </c>
      <c r="D15" s="23" t="s">
        <v>141</v>
      </c>
      <c r="E15" s="20" t="s">
        <v>141</v>
      </c>
      <c r="F15" s="24" t="s">
        <v>20</v>
      </c>
      <c r="G15" s="21" t="s">
        <v>170</v>
      </c>
      <c r="H15" s="21"/>
    </row>
    <row r="16" spans="1:8" x14ac:dyDescent="0.25">
      <c r="A16" s="20">
        <v>2</v>
      </c>
      <c r="B16" s="21" t="s">
        <v>155</v>
      </c>
      <c r="C16" s="21" t="s">
        <v>156</v>
      </c>
      <c r="D16" s="19" t="s">
        <v>70</v>
      </c>
      <c r="E16" s="20" t="s">
        <v>40</v>
      </c>
      <c r="F16" s="25" t="s">
        <v>5</v>
      </c>
      <c r="G16" s="21"/>
      <c r="H16" s="21"/>
    </row>
    <row r="17" spans="1:8" ht="25.5" x14ac:dyDescent="0.25">
      <c r="A17" s="20">
        <v>3</v>
      </c>
      <c r="B17" s="21" t="s">
        <v>477</v>
      </c>
      <c r="C17" s="21" t="s">
        <v>478</v>
      </c>
      <c r="D17" s="19" t="s">
        <v>93</v>
      </c>
      <c r="E17" s="20" t="s">
        <v>47</v>
      </c>
      <c r="F17" s="26" t="s">
        <v>6</v>
      </c>
      <c r="G17" s="21" t="s">
        <v>467</v>
      </c>
      <c r="H17" s="21"/>
    </row>
    <row r="18" spans="1:8" x14ac:dyDescent="0.25">
      <c r="A18" s="20">
        <v>3</v>
      </c>
      <c r="B18" s="21" t="s">
        <v>479</v>
      </c>
      <c r="C18" s="21" t="s">
        <v>210</v>
      </c>
      <c r="D18" s="19" t="s">
        <v>565</v>
      </c>
      <c r="E18" s="20" t="s">
        <v>566</v>
      </c>
      <c r="F18" s="26" t="s">
        <v>6</v>
      </c>
      <c r="G18" s="21" t="s">
        <v>211</v>
      </c>
      <c r="H18" s="21"/>
    </row>
    <row r="19" spans="1:8" x14ac:dyDescent="0.25">
      <c r="A19" s="20">
        <v>3</v>
      </c>
      <c r="B19" s="21" t="s">
        <v>334</v>
      </c>
      <c r="C19" s="21" t="s">
        <v>147</v>
      </c>
      <c r="D19" s="23" t="s">
        <v>141</v>
      </c>
      <c r="E19" s="20" t="s">
        <v>141</v>
      </c>
      <c r="F19" s="24" t="s">
        <v>20</v>
      </c>
      <c r="G19" s="21" t="s">
        <v>148</v>
      </c>
      <c r="H19" s="21"/>
    </row>
    <row r="20" spans="1:8" ht="25.5" x14ac:dyDescent="0.25">
      <c r="A20" s="20">
        <v>3</v>
      </c>
      <c r="B20" s="21" t="s">
        <v>178</v>
      </c>
      <c r="C20" s="21" t="s">
        <v>179</v>
      </c>
      <c r="D20" s="23" t="s">
        <v>141</v>
      </c>
      <c r="E20" s="20" t="s">
        <v>141</v>
      </c>
      <c r="F20" s="24" t="s">
        <v>20</v>
      </c>
      <c r="G20" s="21" t="s">
        <v>180</v>
      </c>
      <c r="H20" s="21"/>
    </row>
    <row r="21" spans="1:8" ht="25.5" x14ac:dyDescent="0.25">
      <c r="A21" s="20">
        <v>3</v>
      </c>
      <c r="B21" s="21" t="s">
        <v>425</v>
      </c>
      <c r="C21" s="21" t="s">
        <v>165</v>
      </c>
      <c r="D21" s="23" t="s">
        <v>141</v>
      </c>
      <c r="E21" s="20" t="s">
        <v>141</v>
      </c>
      <c r="F21" s="24" t="s">
        <v>20</v>
      </c>
      <c r="G21" s="21" t="s">
        <v>166</v>
      </c>
      <c r="H21" s="21"/>
    </row>
    <row r="22" spans="1:8" ht="25.5" x14ac:dyDescent="0.25">
      <c r="A22" s="20">
        <v>3</v>
      </c>
      <c r="B22" s="21" t="s">
        <v>327</v>
      </c>
      <c r="C22" s="21" t="s">
        <v>153</v>
      </c>
      <c r="D22" s="23" t="s">
        <v>141</v>
      </c>
      <c r="E22" s="20" t="s">
        <v>141</v>
      </c>
      <c r="F22" s="24" t="s">
        <v>20</v>
      </c>
      <c r="G22" s="21" t="s">
        <v>154</v>
      </c>
      <c r="H22" s="21"/>
    </row>
    <row r="23" spans="1:8" ht="25.5" x14ac:dyDescent="0.25">
      <c r="A23" s="20">
        <v>3</v>
      </c>
      <c r="B23" s="21" t="s">
        <v>480</v>
      </c>
      <c r="C23" s="21" t="s">
        <v>175</v>
      </c>
      <c r="D23" s="19" t="s">
        <v>72</v>
      </c>
      <c r="E23" s="20" t="s">
        <v>73</v>
      </c>
      <c r="F23" s="26" t="s">
        <v>6</v>
      </c>
      <c r="G23" s="21" t="s">
        <v>176</v>
      </c>
      <c r="H23" s="21"/>
    </row>
    <row r="24" spans="1:8" ht="25.5" x14ac:dyDescent="0.25">
      <c r="A24" s="20">
        <v>4</v>
      </c>
      <c r="B24" s="21" t="s">
        <v>481</v>
      </c>
      <c r="C24" s="21" t="s">
        <v>482</v>
      </c>
      <c r="D24" s="23" t="s">
        <v>141</v>
      </c>
      <c r="E24" s="20" t="s">
        <v>141</v>
      </c>
      <c r="F24" s="24" t="s">
        <v>20</v>
      </c>
      <c r="G24" s="21" t="s">
        <v>218</v>
      </c>
      <c r="H24" s="21"/>
    </row>
    <row r="25" spans="1:8" x14ac:dyDescent="0.25">
      <c r="A25" s="20">
        <v>4</v>
      </c>
      <c r="B25" s="21" t="s">
        <v>483</v>
      </c>
      <c r="C25" s="21" t="s">
        <v>187</v>
      </c>
      <c r="D25" s="19" t="s">
        <v>66</v>
      </c>
      <c r="E25" s="20" t="s">
        <v>50</v>
      </c>
      <c r="F25" s="25" t="s">
        <v>5</v>
      </c>
      <c r="G25" s="21"/>
      <c r="H25" s="21"/>
    </row>
    <row r="26" spans="1:8" x14ac:dyDescent="0.25">
      <c r="A26" s="20">
        <v>4</v>
      </c>
      <c r="B26" s="21" t="s">
        <v>222</v>
      </c>
      <c r="C26" s="21" t="s">
        <v>223</v>
      </c>
      <c r="D26" s="23" t="s">
        <v>141</v>
      </c>
      <c r="E26" s="20" t="s">
        <v>141</v>
      </c>
      <c r="F26" s="24" t="s">
        <v>20</v>
      </c>
      <c r="G26" s="21" t="s">
        <v>224</v>
      </c>
      <c r="H26" s="21"/>
    </row>
    <row r="27" spans="1:8" ht="25.5" x14ac:dyDescent="0.25">
      <c r="A27" s="20">
        <v>4</v>
      </c>
      <c r="B27" s="21" t="s">
        <v>342</v>
      </c>
      <c r="C27" s="21" t="s">
        <v>160</v>
      </c>
      <c r="D27" s="23" t="s">
        <v>141</v>
      </c>
      <c r="E27" s="20" t="s">
        <v>141</v>
      </c>
      <c r="F27" s="24" t="s">
        <v>20</v>
      </c>
      <c r="G27" s="21" t="s">
        <v>161</v>
      </c>
      <c r="H27" s="21"/>
    </row>
    <row r="28" spans="1:8" ht="25.5" x14ac:dyDescent="0.25">
      <c r="A28" s="20">
        <v>4</v>
      </c>
      <c r="B28" s="21" t="s">
        <v>192</v>
      </c>
      <c r="C28" s="21" t="s">
        <v>179</v>
      </c>
      <c r="D28" s="23" t="s">
        <v>141</v>
      </c>
      <c r="E28" s="20" t="s">
        <v>141</v>
      </c>
      <c r="F28" s="24" t="s">
        <v>20</v>
      </c>
      <c r="G28" s="21" t="s">
        <v>180</v>
      </c>
      <c r="H28" s="21"/>
    </row>
    <row r="29" spans="1:8" ht="25.5" x14ac:dyDescent="0.25">
      <c r="A29" s="20">
        <v>4</v>
      </c>
      <c r="B29" s="21" t="s">
        <v>484</v>
      </c>
      <c r="C29" s="21" t="s">
        <v>168</v>
      </c>
      <c r="D29" s="23" t="s">
        <v>141</v>
      </c>
      <c r="E29" s="20" t="s">
        <v>141</v>
      </c>
      <c r="F29" s="24" t="s">
        <v>20</v>
      </c>
      <c r="G29" s="21" t="s">
        <v>161</v>
      </c>
      <c r="H29" s="21"/>
    </row>
    <row r="30" spans="1:8" ht="25.5" x14ac:dyDescent="0.25">
      <c r="A30" s="20">
        <v>4</v>
      </c>
      <c r="B30" s="21" t="s">
        <v>350</v>
      </c>
      <c r="C30" s="21" t="s">
        <v>189</v>
      </c>
      <c r="D30" s="23" t="s">
        <v>141</v>
      </c>
      <c r="E30" s="20" t="s">
        <v>141</v>
      </c>
      <c r="F30" s="24" t="s">
        <v>20</v>
      </c>
      <c r="G30" s="21" t="s">
        <v>190</v>
      </c>
      <c r="H30" s="21"/>
    </row>
    <row r="31" spans="1:8" x14ac:dyDescent="0.25">
      <c r="A31" s="20">
        <v>5</v>
      </c>
      <c r="B31" s="21" t="s">
        <v>485</v>
      </c>
      <c r="C31" s="21" t="s">
        <v>486</v>
      </c>
      <c r="D31" s="19" t="s">
        <v>88</v>
      </c>
      <c r="E31" s="20" t="s">
        <v>233</v>
      </c>
      <c r="F31" s="25" t="s">
        <v>5</v>
      </c>
      <c r="G31" s="21"/>
      <c r="H31" s="21"/>
    </row>
    <row r="32" spans="1:8" x14ac:dyDescent="0.25">
      <c r="A32" s="20">
        <v>5</v>
      </c>
      <c r="B32" s="21" t="s">
        <v>487</v>
      </c>
      <c r="C32" s="21" t="s">
        <v>488</v>
      </c>
      <c r="D32" s="23" t="s">
        <v>141</v>
      </c>
      <c r="E32" s="20" t="s">
        <v>141</v>
      </c>
      <c r="F32" s="24" t="s">
        <v>20</v>
      </c>
      <c r="G32" s="21" t="s">
        <v>405</v>
      </c>
      <c r="H32" s="21"/>
    </row>
    <row r="33" spans="1:8" ht="25.5" x14ac:dyDescent="0.25">
      <c r="A33" s="20">
        <v>5</v>
      </c>
      <c r="B33" s="21" t="s">
        <v>242</v>
      </c>
      <c r="C33" s="21" t="s">
        <v>243</v>
      </c>
      <c r="D33" s="23" t="s">
        <v>141</v>
      </c>
      <c r="E33" s="20" t="s">
        <v>141</v>
      </c>
      <c r="F33" s="24" t="s">
        <v>20</v>
      </c>
      <c r="G33" s="21" t="s">
        <v>244</v>
      </c>
      <c r="H33" s="21"/>
    </row>
    <row r="34" spans="1:8" x14ac:dyDescent="0.25">
      <c r="A34" s="20">
        <v>5</v>
      </c>
      <c r="B34" s="21" t="s">
        <v>489</v>
      </c>
      <c r="C34" s="21" t="s">
        <v>199</v>
      </c>
      <c r="D34" s="23" t="s">
        <v>141</v>
      </c>
      <c r="E34" s="20" t="s">
        <v>141</v>
      </c>
      <c r="F34" s="24" t="s">
        <v>20</v>
      </c>
      <c r="G34" s="21" t="s">
        <v>200</v>
      </c>
      <c r="H34" s="21"/>
    </row>
    <row r="35" spans="1:8" ht="25.5" x14ac:dyDescent="0.25">
      <c r="A35" s="20">
        <v>5</v>
      </c>
      <c r="B35" s="21" t="s">
        <v>204</v>
      </c>
      <c r="C35" s="21" t="s">
        <v>179</v>
      </c>
      <c r="D35" s="23" t="s">
        <v>141</v>
      </c>
      <c r="E35" s="20" t="s">
        <v>141</v>
      </c>
      <c r="F35" s="24" t="s">
        <v>20</v>
      </c>
      <c r="G35" s="21" t="s">
        <v>180</v>
      </c>
      <c r="H35" s="21"/>
    </row>
    <row r="36" spans="1:8" ht="25.5" x14ac:dyDescent="0.25">
      <c r="A36" s="20">
        <v>5</v>
      </c>
      <c r="B36" s="21" t="s">
        <v>490</v>
      </c>
      <c r="C36" s="21" t="s">
        <v>491</v>
      </c>
      <c r="D36" s="19" t="s">
        <v>120</v>
      </c>
      <c r="E36" s="20" t="s">
        <v>50</v>
      </c>
      <c r="F36" s="26" t="s">
        <v>6</v>
      </c>
      <c r="G36" s="21" t="s">
        <v>203</v>
      </c>
      <c r="H36" s="21"/>
    </row>
    <row r="37" spans="1:8" x14ac:dyDescent="0.25">
      <c r="A37" s="20">
        <v>5</v>
      </c>
      <c r="B37" s="21" t="s">
        <v>492</v>
      </c>
      <c r="C37" s="21" t="s">
        <v>493</v>
      </c>
      <c r="D37" s="23" t="s">
        <v>141</v>
      </c>
      <c r="E37" s="20" t="s">
        <v>141</v>
      </c>
      <c r="F37" s="24" t="s">
        <v>20</v>
      </c>
      <c r="G37" s="21"/>
      <c r="H37" s="21"/>
    </row>
    <row r="38" spans="1:8" ht="25.5" x14ac:dyDescent="0.25">
      <c r="A38" s="20">
        <v>6</v>
      </c>
      <c r="B38" s="21" t="s">
        <v>494</v>
      </c>
      <c r="C38" s="21" t="s">
        <v>495</v>
      </c>
      <c r="D38" s="23" t="s">
        <v>141</v>
      </c>
      <c r="E38" s="20" t="s">
        <v>141</v>
      </c>
      <c r="F38" s="24" t="s">
        <v>20</v>
      </c>
      <c r="G38" s="21"/>
      <c r="H38" s="21" t="s">
        <v>496</v>
      </c>
    </row>
    <row r="39" spans="1:8" ht="25.5" x14ac:dyDescent="0.25">
      <c r="A39" s="20">
        <v>6</v>
      </c>
      <c r="B39" s="21" t="s">
        <v>251</v>
      </c>
      <c r="C39" s="21" t="s">
        <v>243</v>
      </c>
      <c r="D39" s="23" t="s">
        <v>141</v>
      </c>
      <c r="E39" s="20" t="s">
        <v>141</v>
      </c>
      <c r="F39" s="24" t="s">
        <v>20</v>
      </c>
      <c r="G39" s="21" t="s">
        <v>244</v>
      </c>
      <c r="H39" s="21"/>
    </row>
    <row r="40" spans="1:8" x14ac:dyDescent="0.25">
      <c r="A40" s="20">
        <v>6</v>
      </c>
      <c r="B40" s="21" t="s">
        <v>497</v>
      </c>
      <c r="C40" s="21" t="s">
        <v>147</v>
      </c>
      <c r="D40" s="23" t="s">
        <v>141</v>
      </c>
      <c r="E40" s="20" t="s">
        <v>141</v>
      </c>
      <c r="F40" s="24" t="s">
        <v>20</v>
      </c>
      <c r="G40" s="21" t="s">
        <v>148</v>
      </c>
      <c r="H40" s="21"/>
    </row>
    <row r="41" spans="1:8" x14ac:dyDescent="0.25">
      <c r="A41" s="20">
        <v>6</v>
      </c>
      <c r="B41" s="21" t="s">
        <v>498</v>
      </c>
      <c r="C41" s="21" t="s">
        <v>199</v>
      </c>
      <c r="D41" s="19" t="s">
        <v>52</v>
      </c>
      <c r="E41" s="20" t="s">
        <v>53</v>
      </c>
      <c r="F41" s="25" t="s">
        <v>5</v>
      </c>
      <c r="G41" s="21"/>
      <c r="H41" s="21"/>
    </row>
    <row r="42" spans="1:8" ht="25.5" x14ac:dyDescent="0.25">
      <c r="A42" s="20">
        <v>6</v>
      </c>
      <c r="B42" s="21" t="s">
        <v>499</v>
      </c>
      <c r="C42" s="21" t="s">
        <v>249</v>
      </c>
      <c r="D42" s="19" t="s">
        <v>129</v>
      </c>
      <c r="E42" s="20" t="s">
        <v>50</v>
      </c>
      <c r="F42" s="26" t="s">
        <v>6</v>
      </c>
      <c r="G42" s="21" t="s">
        <v>250</v>
      </c>
      <c r="H42" s="21"/>
    </row>
    <row r="43" spans="1:8" x14ac:dyDescent="0.25">
      <c r="A43" s="20">
        <v>6</v>
      </c>
      <c r="B43" s="21" t="s">
        <v>500</v>
      </c>
      <c r="C43" s="21" t="s">
        <v>501</v>
      </c>
      <c r="D43" s="19" t="s">
        <v>103</v>
      </c>
      <c r="E43" s="20" t="s">
        <v>53</v>
      </c>
      <c r="F43" s="26" t="s">
        <v>6</v>
      </c>
      <c r="G43" s="21" t="s">
        <v>227</v>
      </c>
      <c r="H43" s="21"/>
    </row>
    <row r="44" spans="1:8" x14ac:dyDescent="0.25">
      <c r="A44" s="20">
        <v>6</v>
      </c>
      <c r="B44" s="21" t="s">
        <v>358</v>
      </c>
      <c r="C44" s="21" t="s">
        <v>175</v>
      </c>
      <c r="D44" s="19" t="s">
        <v>75</v>
      </c>
      <c r="E44" s="20" t="s">
        <v>47</v>
      </c>
      <c r="F44" s="25" t="s">
        <v>5</v>
      </c>
      <c r="G44" s="21"/>
      <c r="H44" s="21"/>
    </row>
    <row r="45" spans="1:8" x14ac:dyDescent="0.25">
      <c r="A45" s="20">
        <v>7</v>
      </c>
      <c r="B45" s="21" t="s">
        <v>502</v>
      </c>
      <c r="C45" s="21" t="s">
        <v>257</v>
      </c>
      <c r="D45" s="23" t="s">
        <v>141</v>
      </c>
      <c r="E45" s="20" t="s">
        <v>141</v>
      </c>
      <c r="F45" s="24" t="s">
        <v>20</v>
      </c>
      <c r="G45" s="21" t="s">
        <v>258</v>
      </c>
      <c r="H45" s="21"/>
    </row>
    <row r="46" spans="1:8" x14ac:dyDescent="0.25">
      <c r="A46" s="20">
        <v>7</v>
      </c>
      <c r="B46" s="21" t="s">
        <v>503</v>
      </c>
      <c r="C46" s="21" t="s">
        <v>504</v>
      </c>
      <c r="D46" s="19" t="s">
        <v>84</v>
      </c>
      <c r="E46" s="20" t="s">
        <v>47</v>
      </c>
      <c r="F46" s="25" t="s">
        <v>5</v>
      </c>
      <c r="G46" s="21"/>
      <c r="H46" s="21"/>
    </row>
    <row r="47" spans="1:8" ht="25.5" x14ac:dyDescent="0.25">
      <c r="A47" s="20">
        <v>7</v>
      </c>
      <c r="B47" s="21" t="s">
        <v>255</v>
      </c>
      <c r="C47" s="21" t="s">
        <v>243</v>
      </c>
      <c r="D47" s="23" t="s">
        <v>141</v>
      </c>
      <c r="E47" s="20" t="s">
        <v>141</v>
      </c>
      <c r="F47" s="24" t="s">
        <v>20</v>
      </c>
      <c r="G47" s="21" t="s">
        <v>244</v>
      </c>
      <c r="H47" s="21"/>
    </row>
    <row r="48" spans="1:8" ht="25.5" x14ac:dyDescent="0.25">
      <c r="A48" s="20">
        <v>7</v>
      </c>
      <c r="B48" s="21" t="s">
        <v>505</v>
      </c>
      <c r="C48" s="21" t="s">
        <v>506</v>
      </c>
      <c r="D48" s="19" t="s">
        <v>49</v>
      </c>
      <c r="E48" s="20" t="s">
        <v>50</v>
      </c>
      <c r="F48" s="26" t="s">
        <v>6</v>
      </c>
      <c r="G48" s="21" t="s">
        <v>184</v>
      </c>
      <c r="H48" s="21"/>
    </row>
    <row r="49" spans="1:8" x14ac:dyDescent="0.25">
      <c r="A49" s="20">
        <v>7</v>
      </c>
      <c r="B49" s="21" t="s">
        <v>507</v>
      </c>
      <c r="C49" s="21" t="s">
        <v>508</v>
      </c>
      <c r="D49" s="23" t="s">
        <v>141</v>
      </c>
      <c r="E49" s="20" t="s">
        <v>141</v>
      </c>
      <c r="F49" s="24" t="s">
        <v>20</v>
      </c>
      <c r="G49" s="21"/>
      <c r="H49" s="21"/>
    </row>
    <row r="50" spans="1:8" ht="25.5" x14ac:dyDescent="0.25">
      <c r="A50" s="20">
        <v>7</v>
      </c>
      <c r="B50" s="21" t="s">
        <v>215</v>
      </c>
      <c r="C50" s="21" t="s">
        <v>179</v>
      </c>
      <c r="D50" s="23" t="s">
        <v>141</v>
      </c>
      <c r="E50" s="20" t="s">
        <v>141</v>
      </c>
      <c r="F50" s="24" t="s">
        <v>20</v>
      </c>
      <c r="G50" s="21" t="s">
        <v>180</v>
      </c>
      <c r="H50" s="21"/>
    </row>
    <row r="51" spans="1:8" ht="25.5" x14ac:dyDescent="0.25">
      <c r="A51" s="20">
        <v>7</v>
      </c>
      <c r="B51" s="21" t="s">
        <v>509</v>
      </c>
      <c r="C51" s="21" t="s">
        <v>510</v>
      </c>
      <c r="D51" s="23" t="s">
        <v>141</v>
      </c>
      <c r="E51" s="20" t="s">
        <v>141</v>
      </c>
      <c r="F51" s="24" t="s">
        <v>20</v>
      </c>
      <c r="G51" s="21" t="s">
        <v>221</v>
      </c>
      <c r="H51" s="21"/>
    </row>
    <row r="52" spans="1:8" x14ac:dyDescent="0.25">
      <c r="A52" s="20">
        <v>8</v>
      </c>
      <c r="B52" s="21" t="s">
        <v>511</v>
      </c>
      <c r="C52" s="21" t="s">
        <v>257</v>
      </c>
      <c r="D52" s="23" t="s">
        <v>141</v>
      </c>
      <c r="E52" s="20" t="s">
        <v>141</v>
      </c>
      <c r="F52" s="24" t="s">
        <v>20</v>
      </c>
      <c r="G52" s="21" t="s">
        <v>258</v>
      </c>
      <c r="H52" s="21"/>
    </row>
    <row r="53" spans="1:8" x14ac:dyDescent="0.25">
      <c r="A53" s="20">
        <v>8</v>
      </c>
      <c r="B53" s="21" t="s">
        <v>512</v>
      </c>
      <c r="C53" s="21" t="s">
        <v>195</v>
      </c>
      <c r="D53" s="19" t="s">
        <v>93</v>
      </c>
      <c r="E53" s="20" t="s">
        <v>47</v>
      </c>
      <c r="F53" s="26" t="s">
        <v>6</v>
      </c>
      <c r="G53" s="21"/>
      <c r="H53" s="21"/>
    </row>
    <row r="54" spans="1:8" ht="25.5" x14ac:dyDescent="0.25">
      <c r="A54" s="20">
        <v>8</v>
      </c>
      <c r="B54" s="21" t="s">
        <v>259</v>
      </c>
      <c r="C54" s="21" t="s">
        <v>243</v>
      </c>
      <c r="D54" s="23" t="s">
        <v>141</v>
      </c>
      <c r="E54" s="20" t="s">
        <v>141</v>
      </c>
      <c r="F54" s="24" t="s">
        <v>20</v>
      </c>
      <c r="G54" s="21" t="s">
        <v>244</v>
      </c>
      <c r="H54" s="21"/>
    </row>
    <row r="55" spans="1:8" x14ac:dyDescent="0.25">
      <c r="A55" s="20">
        <v>8</v>
      </c>
      <c r="B55" s="21" t="s">
        <v>245</v>
      </c>
      <c r="C55" s="21" t="s">
        <v>246</v>
      </c>
      <c r="D55" s="23" t="s">
        <v>141</v>
      </c>
      <c r="E55" s="20" t="s">
        <v>141</v>
      </c>
      <c r="F55" s="24" t="s">
        <v>20</v>
      </c>
      <c r="G55" s="21"/>
      <c r="H55" s="21"/>
    </row>
    <row r="56" spans="1:8" ht="25.5" x14ac:dyDescent="0.25">
      <c r="A56" s="20">
        <v>8</v>
      </c>
      <c r="B56" s="21" t="s">
        <v>513</v>
      </c>
      <c r="C56" s="21" t="s">
        <v>514</v>
      </c>
      <c r="D56" s="23" t="s">
        <v>141</v>
      </c>
      <c r="E56" s="20" t="s">
        <v>141</v>
      </c>
      <c r="F56" s="24" t="s">
        <v>20</v>
      </c>
      <c r="G56" s="21" t="s">
        <v>515</v>
      </c>
      <c r="H56" s="21"/>
    </row>
    <row r="57" spans="1:8" ht="25.5" x14ac:dyDescent="0.25">
      <c r="A57" s="20">
        <v>8</v>
      </c>
      <c r="B57" s="21" t="s">
        <v>516</v>
      </c>
      <c r="C57" s="21" t="s">
        <v>165</v>
      </c>
      <c r="D57" s="23" t="s">
        <v>141</v>
      </c>
      <c r="E57" s="20" t="s">
        <v>141</v>
      </c>
      <c r="F57" s="24" t="s">
        <v>20</v>
      </c>
      <c r="G57" s="21" t="s">
        <v>166</v>
      </c>
      <c r="H57" s="21"/>
    </row>
    <row r="58" spans="1:8" ht="25.5" x14ac:dyDescent="0.25">
      <c r="A58" s="20">
        <v>8</v>
      </c>
      <c r="B58" s="21" t="s">
        <v>517</v>
      </c>
      <c r="C58" s="21" t="s">
        <v>11</v>
      </c>
      <c r="D58" s="19" t="s">
        <v>567</v>
      </c>
      <c r="E58" s="20" t="s">
        <v>47</v>
      </c>
      <c r="F58" s="26" t="s">
        <v>6</v>
      </c>
      <c r="G58" s="21" t="s">
        <v>329</v>
      </c>
      <c r="H58" s="21"/>
    </row>
  </sheetData>
  <phoneticPr fontId="1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2"/>
  <sheetViews>
    <sheetView showGridLines="0" tabSelected="1" workbookViewId="0">
      <pane ySplit="2" topLeftCell="A22" activePane="bottomLeft" state="frozen"/>
      <selection pane="bottomLeft" activeCell="D40" sqref="B40:D40"/>
    </sheetView>
  </sheetViews>
  <sheetFormatPr baseColWidth="10" defaultColWidth="9.140625" defaultRowHeight="15" x14ac:dyDescent="0.25"/>
  <cols>
    <col min="1" max="1" width="10" customWidth="1"/>
    <col min="2" max="2" width="58" customWidth="1"/>
    <col min="3" max="3" width="26" customWidth="1"/>
    <col min="4" max="4" width="30" customWidth="1"/>
    <col min="5" max="5" width="12" customWidth="1"/>
    <col min="6" max="6" width="16" customWidth="1"/>
    <col min="7" max="7" width="46" customWidth="1"/>
    <col min="8" max="8" width="26" customWidth="1"/>
  </cols>
  <sheetData>
    <row r="1" spans="1:8" ht="16.5" x14ac:dyDescent="0.25">
      <c r="A1" s="22" t="s">
        <v>518</v>
      </c>
    </row>
    <row r="2" spans="1:8" ht="30" customHeight="1" x14ac:dyDescent="0.25">
      <c r="A2" s="4" t="s">
        <v>132</v>
      </c>
      <c r="B2" s="4" t="s">
        <v>133</v>
      </c>
      <c r="C2" s="4" t="s">
        <v>134</v>
      </c>
      <c r="D2" s="4" t="s">
        <v>135</v>
      </c>
      <c r="E2" s="4" t="s">
        <v>136</v>
      </c>
      <c r="F2" s="4" t="s">
        <v>137</v>
      </c>
      <c r="G2" s="4" t="s">
        <v>138</v>
      </c>
      <c r="H2" s="4" t="s">
        <v>139</v>
      </c>
    </row>
    <row r="3" spans="1:8" ht="25.5" x14ac:dyDescent="0.25">
      <c r="A3" s="20">
        <v>1</v>
      </c>
      <c r="B3" s="21" t="s">
        <v>519</v>
      </c>
      <c r="C3" s="21" t="s">
        <v>13</v>
      </c>
      <c r="D3" s="23" t="s">
        <v>141</v>
      </c>
      <c r="E3" s="20" t="s">
        <v>141</v>
      </c>
      <c r="F3" s="24" t="s">
        <v>20</v>
      </c>
      <c r="G3" s="21" t="s">
        <v>142</v>
      </c>
      <c r="H3" s="21"/>
    </row>
    <row r="4" spans="1:8" ht="25.5" x14ac:dyDescent="0.25">
      <c r="A4" s="20">
        <v>1</v>
      </c>
      <c r="B4" s="21" t="s">
        <v>143</v>
      </c>
      <c r="C4" s="21" t="s">
        <v>144</v>
      </c>
      <c r="D4" s="23" t="s">
        <v>141</v>
      </c>
      <c r="E4" s="20" t="s">
        <v>141</v>
      </c>
      <c r="F4" s="24" t="s">
        <v>20</v>
      </c>
      <c r="G4" s="21" t="s">
        <v>145</v>
      </c>
      <c r="H4" s="21"/>
    </row>
    <row r="5" spans="1:8" x14ac:dyDescent="0.25">
      <c r="A5" s="20">
        <v>1</v>
      </c>
      <c r="B5" s="21" t="s">
        <v>265</v>
      </c>
      <c r="C5" s="21" t="s">
        <v>147</v>
      </c>
      <c r="D5" s="23" t="s">
        <v>141</v>
      </c>
      <c r="E5" s="20" t="s">
        <v>141</v>
      </c>
      <c r="F5" s="24" t="s">
        <v>20</v>
      </c>
      <c r="G5" s="21" t="s">
        <v>148</v>
      </c>
      <c r="H5" s="21"/>
    </row>
    <row r="6" spans="1:8" x14ac:dyDescent="0.25">
      <c r="A6" s="20">
        <v>1</v>
      </c>
      <c r="B6" s="21" t="s">
        <v>271</v>
      </c>
      <c r="C6" s="21" t="s">
        <v>150</v>
      </c>
      <c r="D6" s="19" t="s">
        <v>151</v>
      </c>
      <c r="E6" s="20" t="s">
        <v>40</v>
      </c>
      <c r="F6" s="25" t="s">
        <v>5</v>
      </c>
      <c r="G6" s="21"/>
      <c r="H6" s="21"/>
    </row>
    <row r="7" spans="1:8" ht="25.5" x14ac:dyDescent="0.25">
      <c r="A7" s="20">
        <v>1</v>
      </c>
      <c r="B7" s="21" t="s">
        <v>264</v>
      </c>
      <c r="C7" s="21" t="s">
        <v>153</v>
      </c>
      <c r="D7" s="23" t="s">
        <v>141</v>
      </c>
      <c r="E7" s="20" t="s">
        <v>141</v>
      </c>
      <c r="F7" s="24" t="s">
        <v>20</v>
      </c>
      <c r="G7" s="21" t="s">
        <v>154</v>
      </c>
      <c r="H7" s="21"/>
    </row>
    <row r="8" spans="1:8" x14ac:dyDescent="0.25">
      <c r="A8" s="20">
        <v>1</v>
      </c>
      <c r="B8" s="21" t="s">
        <v>263</v>
      </c>
      <c r="C8" s="21" t="s">
        <v>156</v>
      </c>
      <c r="D8" s="19" t="s">
        <v>70</v>
      </c>
      <c r="E8" s="20" t="s">
        <v>40</v>
      </c>
      <c r="F8" s="25" t="s">
        <v>5</v>
      </c>
      <c r="G8" s="21"/>
      <c r="H8" s="21"/>
    </row>
    <row r="9" spans="1:8" ht="25.5" x14ac:dyDescent="0.25">
      <c r="A9" s="20">
        <v>2</v>
      </c>
      <c r="B9" s="21" t="s">
        <v>520</v>
      </c>
      <c r="C9" s="21" t="s">
        <v>165</v>
      </c>
      <c r="D9" s="23" t="s">
        <v>141</v>
      </c>
      <c r="E9" s="20" t="s">
        <v>141</v>
      </c>
      <c r="F9" s="24" t="s">
        <v>20</v>
      </c>
      <c r="G9" s="21" t="s">
        <v>166</v>
      </c>
      <c r="H9" s="21"/>
    </row>
    <row r="10" spans="1:8" ht="25.5" x14ac:dyDescent="0.25">
      <c r="A10" s="20">
        <v>2</v>
      </c>
      <c r="B10" s="21" t="s">
        <v>521</v>
      </c>
      <c r="C10" s="21" t="s">
        <v>522</v>
      </c>
      <c r="D10" s="19" t="s">
        <v>110</v>
      </c>
      <c r="E10" s="20" t="s">
        <v>40</v>
      </c>
      <c r="F10" s="26" t="s">
        <v>6</v>
      </c>
      <c r="G10" s="21" t="s">
        <v>523</v>
      </c>
      <c r="H10" s="21"/>
    </row>
    <row r="11" spans="1:8" ht="25.5" x14ac:dyDescent="0.25">
      <c r="A11" s="20">
        <v>2</v>
      </c>
      <c r="B11" s="21" t="s">
        <v>267</v>
      </c>
      <c r="C11" s="21" t="s">
        <v>144</v>
      </c>
      <c r="D11" s="23" t="s">
        <v>141</v>
      </c>
      <c r="E11" s="20" t="s">
        <v>141</v>
      </c>
      <c r="F11" s="24" t="s">
        <v>20</v>
      </c>
      <c r="G11" s="21" t="s">
        <v>145</v>
      </c>
      <c r="H11" s="21"/>
    </row>
    <row r="12" spans="1:8" ht="25.5" x14ac:dyDescent="0.25">
      <c r="A12" s="20">
        <v>2</v>
      </c>
      <c r="B12" s="21" t="s">
        <v>274</v>
      </c>
      <c r="C12" s="21" t="s">
        <v>13</v>
      </c>
      <c r="D12" s="23" t="s">
        <v>141</v>
      </c>
      <c r="E12" s="20" t="s">
        <v>141</v>
      </c>
      <c r="F12" s="24" t="s">
        <v>20</v>
      </c>
      <c r="G12" s="21" t="s">
        <v>142</v>
      </c>
      <c r="H12" s="21"/>
    </row>
    <row r="13" spans="1:8" ht="25.5" x14ac:dyDescent="0.25">
      <c r="A13" s="20">
        <v>2</v>
      </c>
      <c r="B13" s="21" t="s">
        <v>524</v>
      </c>
      <c r="C13" s="21" t="s">
        <v>189</v>
      </c>
      <c r="D13" s="23" t="s">
        <v>141</v>
      </c>
      <c r="E13" s="20" t="s">
        <v>141</v>
      </c>
      <c r="F13" s="24" t="s">
        <v>20</v>
      </c>
      <c r="G13" s="21" t="s">
        <v>190</v>
      </c>
      <c r="H13" s="21"/>
    </row>
    <row r="14" spans="1:8" ht="25.5" x14ac:dyDescent="0.25">
      <c r="A14" s="20">
        <v>3</v>
      </c>
      <c r="B14" s="21" t="s">
        <v>178</v>
      </c>
      <c r="C14" s="21" t="s">
        <v>179</v>
      </c>
      <c r="D14" s="23" t="s">
        <v>141</v>
      </c>
      <c r="E14" s="20" t="s">
        <v>141</v>
      </c>
      <c r="F14" s="24" t="s">
        <v>20</v>
      </c>
      <c r="G14" s="21" t="s">
        <v>180</v>
      </c>
      <c r="H14" s="21"/>
    </row>
    <row r="15" spans="1:8" ht="25.5" x14ac:dyDescent="0.25">
      <c r="A15" s="20">
        <v>3</v>
      </c>
      <c r="B15" s="21" t="s">
        <v>525</v>
      </c>
      <c r="C15" s="21" t="s">
        <v>522</v>
      </c>
      <c r="D15" s="23" t="s">
        <v>141</v>
      </c>
      <c r="E15" s="20" t="s">
        <v>141</v>
      </c>
      <c r="F15" s="24" t="s">
        <v>20</v>
      </c>
      <c r="G15" s="21" t="s">
        <v>523</v>
      </c>
      <c r="H15" s="21"/>
    </row>
    <row r="16" spans="1:8" ht="25.5" x14ac:dyDescent="0.25">
      <c r="A16" s="20">
        <v>3</v>
      </c>
      <c r="B16" s="21" t="s">
        <v>526</v>
      </c>
      <c r="C16" s="21" t="s">
        <v>144</v>
      </c>
      <c r="D16" s="23" t="s">
        <v>141</v>
      </c>
      <c r="E16" s="20" t="s">
        <v>141</v>
      </c>
      <c r="F16" s="24" t="s">
        <v>20</v>
      </c>
      <c r="G16" s="21" t="s">
        <v>170</v>
      </c>
      <c r="H16" s="21"/>
    </row>
    <row r="17" spans="1:8" ht="25.5" x14ac:dyDescent="0.25">
      <c r="A17" s="20">
        <v>3</v>
      </c>
      <c r="B17" s="21" t="s">
        <v>280</v>
      </c>
      <c r="C17" s="21" t="s">
        <v>13</v>
      </c>
      <c r="D17" s="23" t="s">
        <v>141</v>
      </c>
      <c r="E17" s="20" t="s">
        <v>141</v>
      </c>
      <c r="F17" s="24" t="s">
        <v>20</v>
      </c>
      <c r="G17" s="21" t="s">
        <v>142</v>
      </c>
      <c r="H17" s="21"/>
    </row>
    <row r="18" spans="1:8" x14ac:dyDescent="0.25">
      <c r="A18" s="20">
        <v>3</v>
      </c>
      <c r="B18" s="21" t="s">
        <v>185</v>
      </c>
      <c r="C18" s="21" t="s">
        <v>147</v>
      </c>
      <c r="D18" s="23" t="s">
        <v>141</v>
      </c>
      <c r="E18" s="20" t="s">
        <v>141</v>
      </c>
      <c r="F18" s="24" t="s">
        <v>20</v>
      </c>
      <c r="G18" s="21" t="s">
        <v>148</v>
      </c>
      <c r="H18" s="21"/>
    </row>
    <row r="19" spans="1:8" ht="25.5" x14ac:dyDescent="0.25">
      <c r="A19" s="20">
        <v>3</v>
      </c>
      <c r="B19" s="21" t="s">
        <v>174</v>
      </c>
      <c r="C19" s="21" t="s">
        <v>175</v>
      </c>
      <c r="D19" s="19" t="s">
        <v>72</v>
      </c>
      <c r="E19" s="20" t="s">
        <v>73</v>
      </c>
      <c r="F19" s="26" t="s">
        <v>6</v>
      </c>
      <c r="G19" s="21" t="s">
        <v>176</v>
      </c>
      <c r="H19" s="21"/>
    </row>
    <row r="20" spans="1:8" ht="25.5" x14ac:dyDescent="0.25">
      <c r="A20" s="20">
        <v>4</v>
      </c>
      <c r="B20" s="21" t="s">
        <v>192</v>
      </c>
      <c r="C20" s="21" t="s">
        <v>179</v>
      </c>
      <c r="D20" s="23" t="s">
        <v>141</v>
      </c>
      <c r="E20" s="20" t="s">
        <v>141</v>
      </c>
      <c r="F20" s="24" t="s">
        <v>20</v>
      </c>
      <c r="G20" s="21" t="s">
        <v>180</v>
      </c>
      <c r="H20" s="21"/>
    </row>
    <row r="21" spans="1:8" x14ac:dyDescent="0.25">
      <c r="A21" s="20">
        <v>4</v>
      </c>
      <c r="B21" s="21" t="s">
        <v>527</v>
      </c>
      <c r="C21" s="21" t="s">
        <v>147</v>
      </c>
      <c r="D21" s="23" t="s">
        <v>141</v>
      </c>
      <c r="E21" s="20" t="s">
        <v>141</v>
      </c>
      <c r="F21" s="24" t="s">
        <v>20</v>
      </c>
      <c r="G21" s="21" t="s">
        <v>148</v>
      </c>
      <c r="H21" s="21"/>
    </row>
    <row r="22" spans="1:8" ht="25.5" x14ac:dyDescent="0.25">
      <c r="A22" s="20">
        <v>4</v>
      </c>
      <c r="B22" s="21" t="s">
        <v>528</v>
      </c>
      <c r="C22" s="21" t="s">
        <v>522</v>
      </c>
      <c r="D22" s="23" t="s">
        <v>141</v>
      </c>
      <c r="E22" s="20" t="s">
        <v>141</v>
      </c>
      <c r="F22" s="24" t="s">
        <v>20</v>
      </c>
      <c r="G22" s="21" t="s">
        <v>523</v>
      </c>
      <c r="H22" s="21"/>
    </row>
    <row r="23" spans="1:8" x14ac:dyDescent="0.25">
      <c r="A23" s="20">
        <v>4</v>
      </c>
      <c r="B23" s="21" t="s">
        <v>529</v>
      </c>
      <c r="C23" s="21" t="s">
        <v>530</v>
      </c>
      <c r="D23" s="19" t="s">
        <v>112</v>
      </c>
      <c r="E23" s="20" t="s">
        <v>47</v>
      </c>
      <c r="F23" s="25" t="s">
        <v>5</v>
      </c>
      <c r="G23" s="21"/>
      <c r="H23" s="21"/>
    </row>
    <row r="24" spans="1:8" ht="25.5" x14ac:dyDescent="0.25">
      <c r="A24" s="20">
        <v>4</v>
      </c>
      <c r="B24" s="21" t="s">
        <v>288</v>
      </c>
      <c r="C24" s="21" t="s">
        <v>160</v>
      </c>
      <c r="D24" s="23" t="s">
        <v>141</v>
      </c>
      <c r="E24" s="20" t="s">
        <v>141</v>
      </c>
      <c r="F24" s="24" t="s">
        <v>20</v>
      </c>
      <c r="G24" s="21" t="s">
        <v>161</v>
      </c>
      <c r="H24" s="21"/>
    </row>
    <row r="25" spans="1:8" ht="25.5" x14ac:dyDescent="0.25">
      <c r="A25" s="20">
        <v>4</v>
      </c>
      <c r="B25" s="21" t="s">
        <v>531</v>
      </c>
      <c r="C25" s="21" t="s">
        <v>144</v>
      </c>
      <c r="D25" s="23" t="s">
        <v>141</v>
      </c>
      <c r="E25" s="20" t="s">
        <v>141</v>
      </c>
      <c r="F25" s="24" t="s">
        <v>20</v>
      </c>
      <c r="G25" s="21" t="s">
        <v>170</v>
      </c>
      <c r="H25" s="21"/>
    </row>
    <row r="26" spans="1:8" ht="25.5" x14ac:dyDescent="0.25">
      <c r="A26" s="20">
        <v>5</v>
      </c>
      <c r="B26" s="21" t="s">
        <v>204</v>
      </c>
      <c r="C26" s="21" t="s">
        <v>179</v>
      </c>
      <c r="D26" s="23" t="s">
        <v>141</v>
      </c>
      <c r="E26" s="20" t="s">
        <v>141</v>
      </c>
      <c r="F26" s="24" t="s">
        <v>20</v>
      </c>
      <c r="G26" s="21" t="s">
        <v>180</v>
      </c>
      <c r="H26" s="21"/>
    </row>
    <row r="27" spans="1:8" ht="25.5" x14ac:dyDescent="0.25">
      <c r="A27" s="20">
        <v>5</v>
      </c>
      <c r="B27" s="21" t="s">
        <v>532</v>
      </c>
      <c r="C27" s="21" t="s">
        <v>165</v>
      </c>
      <c r="D27" s="23" t="s">
        <v>141</v>
      </c>
      <c r="E27" s="20" t="s">
        <v>141</v>
      </c>
      <c r="F27" s="24" t="s">
        <v>20</v>
      </c>
      <c r="G27" s="21" t="s">
        <v>166</v>
      </c>
      <c r="H27" s="21"/>
    </row>
    <row r="28" spans="1:8" x14ac:dyDescent="0.25">
      <c r="A28" s="20">
        <v>5</v>
      </c>
      <c r="B28" s="21" t="s">
        <v>533</v>
      </c>
      <c r="C28" s="21" t="s">
        <v>534</v>
      </c>
      <c r="D28" s="23" t="s">
        <v>141</v>
      </c>
      <c r="E28" s="20" t="s">
        <v>141</v>
      </c>
      <c r="F28" s="24" t="s">
        <v>20</v>
      </c>
      <c r="G28" s="21" t="s">
        <v>445</v>
      </c>
      <c r="H28" s="21"/>
    </row>
    <row r="29" spans="1:8" x14ac:dyDescent="0.25">
      <c r="A29" s="20">
        <v>5</v>
      </c>
      <c r="B29" s="21" t="s">
        <v>535</v>
      </c>
      <c r="C29" s="21" t="s">
        <v>223</v>
      </c>
      <c r="D29" s="23" t="s">
        <v>141</v>
      </c>
      <c r="E29" s="20" t="s">
        <v>141</v>
      </c>
      <c r="F29" s="24" t="s">
        <v>20</v>
      </c>
      <c r="G29" s="21" t="s">
        <v>224</v>
      </c>
      <c r="H29" s="21"/>
    </row>
    <row r="30" spans="1:8" ht="25.5" x14ac:dyDescent="0.25">
      <c r="A30" s="20">
        <v>5</v>
      </c>
      <c r="B30" s="21" t="s">
        <v>275</v>
      </c>
      <c r="C30" s="21" t="s">
        <v>128</v>
      </c>
      <c r="D30" s="19" t="s">
        <v>129</v>
      </c>
      <c r="E30" s="20" t="s">
        <v>50</v>
      </c>
      <c r="F30" s="26" t="s">
        <v>6</v>
      </c>
      <c r="G30" s="21" t="s">
        <v>184</v>
      </c>
      <c r="H30" s="21"/>
    </row>
    <row r="31" spans="1:8" ht="25.5" x14ac:dyDescent="0.25">
      <c r="A31" s="20">
        <v>6</v>
      </c>
      <c r="B31" s="21" t="s">
        <v>215</v>
      </c>
      <c r="C31" s="21" t="s">
        <v>179</v>
      </c>
      <c r="D31" s="23" t="s">
        <v>141</v>
      </c>
      <c r="E31" s="20" t="s">
        <v>141</v>
      </c>
      <c r="F31" s="24" t="s">
        <v>20</v>
      </c>
      <c r="G31" s="21" t="s">
        <v>180</v>
      </c>
      <c r="H31" s="21"/>
    </row>
    <row r="32" spans="1:8" x14ac:dyDescent="0.25">
      <c r="A32" s="20">
        <v>6</v>
      </c>
      <c r="B32" s="21" t="s">
        <v>536</v>
      </c>
      <c r="C32" s="21" t="s">
        <v>530</v>
      </c>
      <c r="D32" s="23" t="s">
        <v>141</v>
      </c>
      <c r="E32" s="20" t="s">
        <v>141</v>
      </c>
      <c r="F32" s="24" t="s">
        <v>20</v>
      </c>
      <c r="G32" s="21"/>
      <c r="H32" s="21"/>
    </row>
    <row r="33" spans="1:8" x14ac:dyDescent="0.25">
      <c r="A33" s="20">
        <v>6</v>
      </c>
      <c r="B33" s="21" t="s">
        <v>537</v>
      </c>
      <c r="C33" s="21" t="s">
        <v>538</v>
      </c>
      <c r="D33" s="23" t="s">
        <v>141</v>
      </c>
      <c r="E33" s="20" t="s">
        <v>141</v>
      </c>
      <c r="F33" s="24" t="s">
        <v>20</v>
      </c>
      <c r="G33" s="21"/>
      <c r="H33" s="21"/>
    </row>
    <row r="34" spans="1:8" ht="25.5" x14ac:dyDescent="0.25">
      <c r="A34" s="20">
        <v>6</v>
      </c>
      <c r="B34" s="21" t="s">
        <v>539</v>
      </c>
      <c r="C34" s="21" t="s">
        <v>540</v>
      </c>
      <c r="D34" s="23" t="s">
        <v>141</v>
      </c>
      <c r="E34" s="20" t="s">
        <v>141</v>
      </c>
      <c r="F34" s="24" t="s">
        <v>20</v>
      </c>
      <c r="G34" s="21" t="s">
        <v>523</v>
      </c>
      <c r="H34" s="21"/>
    </row>
    <row r="35" spans="1:8" x14ac:dyDescent="0.25">
      <c r="A35" s="20">
        <v>6</v>
      </c>
      <c r="B35" s="21" t="s">
        <v>541</v>
      </c>
      <c r="C35" s="21" t="s">
        <v>542</v>
      </c>
      <c r="D35" s="19" t="s">
        <v>114</v>
      </c>
      <c r="E35" s="20" t="s">
        <v>50</v>
      </c>
      <c r="F35" s="26" t="s">
        <v>6</v>
      </c>
      <c r="G35" s="21" t="s">
        <v>543</v>
      </c>
      <c r="H35" s="21"/>
    </row>
    <row r="36" spans="1:8" ht="25.5" x14ac:dyDescent="0.25">
      <c r="A36" s="20">
        <v>7</v>
      </c>
      <c r="B36" s="21" t="s">
        <v>544</v>
      </c>
      <c r="C36" s="21" t="s">
        <v>165</v>
      </c>
      <c r="D36" s="23" t="s">
        <v>141</v>
      </c>
      <c r="E36" s="20" t="s">
        <v>141</v>
      </c>
      <c r="F36" s="24" t="s">
        <v>20</v>
      </c>
      <c r="G36" s="21" t="s">
        <v>166</v>
      </c>
      <c r="H36" s="21"/>
    </row>
    <row r="37" spans="1:8" x14ac:dyDescent="0.25">
      <c r="A37" s="20">
        <v>7</v>
      </c>
      <c r="B37" s="21" t="s">
        <v>545</v>
      </c>
      <c r="C37" s="21" t="s">
        <v>546</v>
      </c>
      <c r="D37" s="23" t="s">
        <v>141</v>
      </c>
      <c r="E37" s="20" t="s">
        <v>141</v>
      </c>
      <c r="F37" s="24" t="s">
        <v>20</v>
      </c>
      <c r="G37" s="21" t="s">
        <v>547</v>
      </c>
      <c r="H37" s="21"/>
    </row>
    <row r="38" spans="1:8" x14ac:dyDescent="0.25">
      <c r="A38" s="20">
        <v>7</v>
      </c>
      <c r="B38" s="21" t="s">
        <v>548</v>
      </c>
      <c r="C38" s="21" t="s">
        <v>549</v>
      </c>
      <c r="D38" s="23" t="s">
        <v>141</v>
      </c>
      <c r="E38" s="20" t="s">
        <v>141</v>
      </c>
      <c r="F38" s="24" t="s">
        <v>20</v>
      </c>
      <c r="G38" s="21" t="s">
        <v>550</v>
      </c>
      <c r="H38" s="21"/>
    </row>
    <row r="39" spans="1:8" ht="25.5" x14ac:dyDescent="0.25">
      <c r="A39" s="20">
        <v>7</v>
      </c>
      <c r="B39" s="21" t="s">
        <v>551</v>
      </c>
      <c r="C39" s="21" t="s">
        <v>220</v>
      </c>
      <c r="D39" s="23" t="s">
        <v>141</v>
      </c>
      <c r="E39" s="20" t="s">
        <v>141</v>
      </c>
      <c r="F39" s="24" t="s">
        <v>20</v>
      </c>
      <c r="G39" s="21" t="s">
        <v>221</v>
      </c>
      <c r="H39" s="21"/>
    </row>
    <row r="40" spans="1:8" x14ac:dyDescent="0.25">
      <c r="A40" s="20">
        <v>7</v>
      </c>
      <c r="B40" s="21" t="s">
        <v>214</v>
      </c>
      <c r="C40" s="21" t="s">
        <v>175</v>
      </c>
      <c r="D40" s="19" t="s">
        <v>75</v>
      </c>
      <c r="E40" s="20" t="s">
        <v>47</v>
      </c>
      <c r="F40" s="25" t="s">
        <v>5</v>
      </c>
      <c r="G40" s="21"/>
      <c r="H40" s="21"/>
    </row>
    <row r="41" spans="1:8" x14ac:dyDescent="0.25">
      <c r="A41" s="20">
        <v>8</v>
      </c>
      <c r="B41" s="21" t="s">
        <v>552</v>
      </c>
      <c r="C41" s="21" t="s">
        <v>553</v>
      </c>
      <c r="D41" s="23" t="s">
        <v>141</v>
      </c>
      <c r="E41" s="20" t="s">
        <v>141</v>
      </c>
      <c r="F41" s="24" t="s">
        <v>20</v>
      </c>
      <c r="G41" s="21" t="s">
        <v>547</v>
      </c>
      <c r="H41" s="21"/>
    </row>
    <row r="42" spans="1:8" ht="25.5" x14ac:dyDescent="0.25">
      <c r="A42" s="20">
        <v>8</v>
      </c>
      <c r="B42" s="21" t="s">
        <v>554</v>
      </c>
      <c r="C42" s="21" t="s">
        <v>522</v>
      </c>
      <c r="D42" s="23" t="s">
        <v>141</v>
      </c>
      <c r="E42" s="20" t="s">
        <v>141</v>
      </c>
      <c r="F42" s="24" t="s">
        <v>20</v>
      </c>
      <c r="G42" s="21" t="s">
        <v>523</v>
      </c>
      <c r="H42" s="21"/>
    </row>
    <row r="43" spans="1:8" ht="25.5" x14ac:dyDescent="0.25">
      <c r="A43" s="20">
        <v>8</v>
      </c>
      <c r="B43" s="21" t="s">
        <v>555</v>
      </c>
      <c r="C43" s="21" t="s">
        <v>556</v>
      </c>
      <c r="D43" s="19" t="s">
        <v>118</v>
      </c>
      <c r="E43" s="20" t="s">
        <v>53</v>
      </c>
      <c r="F43" s="26" t="s">
        <v>6</v>
      </c>
      <c r="G43" s="21" t="s">
        <v>523</v>
      </c>
      <c r="H43" s="21"/>
    </row>
    <row r="44" spans="1:8" x14ac:dyDescent="0.25">
      <c r="A44" s="20">
        <v>8</v>
      </c>
      <c r="B44" s="21" t="s">
        <v>324</v>
      </c>
      <c r="C44" s="21" t="s">
        <v>246</v>
      </c>
      <c r="D44" s="19" t="s">
        <v>49</v>
      </c>
      <c r="E44" s="20" t="s">
        <v>50</v>
      </c>
      <c r="F44" s="26" t="s">
        <v>6</v>
      </c>
      <c r="G44" s="21"/>
      <c r="H44" s="21"/>
    </row>
    <row r="45" spans="1:8" x14ac:dyDescent="0.25">
      <c r="A45" s="20">
        <v>8</v>
      </c>
      <c r="B45" s="21" t="s">
        <v>557</v>
      </c>
      <c r="C45" s="21" t="s">
        <v>257</v>
      </c>
      <c r="D45" s="23" t="s">
        <v>141</v>
      </c>
      <c r="E45" s="20" t="s">
        <v>141</v>
      </c>
      <c r="F45" s="24" t="s">
        <v>20</v>
      </c>
      <c r="G45" s="21" t="s">
        <v>258</v>
      </c>
      <c r="H45" s="21"/>
    </row>
    <row r="46" spans="1:8" ht="25.5" x14ac:dyDescent="0.25">
      <c r="A46" s="20">
        <v>8</v>
      </c>
      <c r="B46" s="21" t="s">
        <v>228</v>
      </c>
      <c r="C46" s="21" t="s">
        <v>229</v>
      </c>
      <c r="D46" s="19" t="s">
        <v>84</v>
      </c>
      <c r="E46" s="20" t="s">
        <v>47</v>
      </c>
      <c r="F46" s="26" t="s">
        <v>6</v>
      </c>
      <c r="G46" s="21" t="s">
        <v>230</v>
      </c>
      <c r="H46" s="21"/>
    </row>
    <row r="47" spans="1:8" ht="25.5" x14ac:dyDescent="0.25">
      <c r="A47" s="20">
        <v>9</v>
      </c>
      <c r="B47" s="21" t="s">
        <v>558</v>
      </c>
      <c r="C47" s="21" t="s">
        <v>249</v>
      </c>
      <c r="D47" s="23" t="s">
        <v>141</v>
      </c>
      <c r="E47" s="20" t="s">
        <v>141</v>
      </c>
      <c r="F47" s="24" t="s">
        <v>20</v>
      </c>
      <c r="G47" s="21" t="s">
        <v>250</v>
      </c>
      <c r="H47" s="21"/>
    </row>
    <row r="48" spans="1:8" x14ac:dyDescent="0.25">
      <c r="A48" s="20">
        <v>9</v>
      </c>
      <c r="B48" s="21" t="s">
        <v>83</v>
      </c>
      <c r="C48" s="21" t="s">
        <v>83</v>
      </c>
      <c r="D48" s="23" t="s">
        <v>141</v>
      </c>
      <c r="E48" s="20" t="s">
        <v>141</v>
      </c>
      <c r="F48" s="24" t="s">
        <v>20</v>
      </c>
      <c r="G48" s="21"/>
      <c r="H48" s="21"/>
    </row>
    <row r="49" spans="1:8" x14ac:dyDescent="0.25">
      <c r="A49" s="20">
        <v>9</v>
      </c>
      <c r="B49" s="21" t="s">
        <v>559</v>
      </c>
      <c r="C49" s="21" t="s">
        <v>560</v>
      </c>
      <c r="D49" s="19" t="s">
        <v>116</v>
      </c>
      <c r="E49" s="20" t="s">
        <v>53</v>
      </c>
      <c r="F49" s="25" t="s">
        <v>5</v>
      </c>
      <c r="G49" s="21"/>
      <c r="H49" s="21"/>
    </row>
    <row r="50" spans="1:8" x14ac:dyDescent="0.25">
      <c r="A50" s="20">
        <v>9</v>
      </c>
      <c r="B50" s="21" t="s">
        <v>561</v>
      </c>
      <c r="C50" s="21" t="s">
        <v>257</v>
      </c>
      <c r="D50" s="23" t="s">
        <v>141</v>
      </c>
      <c r="E50" s="20" t="s">
        <v>141</v>
      </c>
      <c r="F50" s="24" t="s">
        <v>20</v>
      </c>
      <c r="G50" s="21" t="s">
        <v>258</v>
      </c>
      <c r="H50" s="21"/>
    </row>
    <row r="51" spans="1:8" x14ac:dyDescent="0.25">
      <c r="A51" s="20">
        <v>9</v>
      </c>
      <c r="B51" s="21" t="s">
        <v>562</v>
      </c>
      <c r="C51" s="21" t="s">
        <v>534</v>
      </c>
      <c r="D51" s="23" t="s">
        <v>141</v>
      </c>
      <c r="E51" s="20" t="s">
        <v>141</v>
      </c>
      <c r="F51" s="24" t="s">
        <v>20</v>
      </c>
      <c r="G51" s="21" t="s">
        <v>445</v>
      </c>
      <c r="H51" s="21"/>
    </row>
    <row r="52" spans="1:8" x14ac:dyDescent="0.25">
      <c r="A52" s="20">
        <v>9</v>
      </c>
      <c r="B52" s="21" t="s">
        <v>563</v>
      </c>
      <c r="C52" s="21" t="s">
        <v>564</v>
      </c>
      <c r="D52" s="23" t="s">
        <v>141</v>
      </c>
      <c r="E52" s="20" t="s">
        <v>141</v>
      </c>
      <c r="F52" s="24" t="s">
        <v>20</v>
      </c>
      <c r="G52" s="21" t="s">
        <v>547</v>
      </c>
      <c r="H52" s="2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Catálogo CompanyGame</vt:lpstr>
      <vt:lpstr>Administración de Empresas</vt:lpstr>
      <vt:lpstr>Contaduría Pública</vt:lpstr>
      <vt:lpstr>Comercio Exterior</vt:lpstr>
      <vt:lpstr>Finanzas y Banca</vt:lpstr>
      <vt:lpstr>Economía</vt:lpstr>
      <vt:lpstr>Gestión Emprend. e Innovación</vt:lpstr>
      <vt:lpstr>Administración Turística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Gonzalez</cp:lastModifiedBy>
  <dcterms:created xsi:type="dcterms:W3CDTF">2026-08-12T21:57:59Z</dcterms:created>
  <dcterms:modified xsi:type="dcterms:W3CDTF">2026-09-07T16:08:47Z</dcterms:modified>
</cp:coreProperties>
</file>